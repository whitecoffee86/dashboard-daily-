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ckup01\Desktop\병아리\"/>
    </mc:Choice>
  </mc:AlternateContent>
  <xr:revisionPtr revIDLastSave="0" documentId="13_ncr:1_{529C8A48-7875-4B24-9E04-3AFD1FE8FF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PUT" sheetId="1" r:id="rId1"/>
    <sheet name="SS관리" sheetId="8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8" l="1"/>
  <c r="Q10" i="8" s="1"/>
  <c r="P10" i="8" s="1"/>
  <c r="G10" i="8"/>
  <c r="F10" i="8"/>
  <c r="H10" i="8" s="1"/>
  <c r="J10" i="8" s="1"/>
  <c r="I10" i="8" s="1"/>
  <c r="E10" i="8"/>
  <c r="D10" i="8"/>
  <c r="Q9" i="8"/>
  <c r="P9" i="8" s="1"/>
  <c r="O9" i="8"/>
  <c r="N9" i="8"/>
  <c r="M9" i="8"/>
  <c r="G9" i="8"/>
  <c r="H9" i="8" s="1"/>
  <c r="J9" i="8" s="1"/>
  <c r="I9" i="8" s="1"/>
  <c r="F9" i="8"/>
  <c r="E9" i="8"/>
  <c r="D9" i="8"/>
  <c r="M8" i="8"/>
  <c r="H8" i="8"/>
  <c r="J8" i="8" s="1"/>
  <c r="I8" i="8" s="1"/>
  <c r="G8" i="8"/>
  <c r="F8" i="8"/>
  <c r="E8" i="8"/>
  <c r="D8" i="8"/>
  <c r="M7" i="8"/>
  <c r="I7" i="8"/>
  <c r="G7" i="8"/>
  <c r="F7" i="8"/>
  <c r="H7" i="8" s="1"/>
  <c r="J7" i="8" s="1"/>
  <c r="E7" i="8"/>
  <c r="D7" i="8"/>
  <c r="M6" i="8"/>
  <c r="Q6" i="8" s="1"/>
  <c r="P6" i="8" s="1"/>
  <c r="G6" i="8"/>
  <c r="F6" i="8"/>
  <c r="E6" i="8"/>
  <c r="D6" i="8"/>
  <c r="Q5" i="8"/>
  <c r="P5" i="8" s="1"/>
  <c r="O5" i="8"/>
  <c r="N5" i="8"/>
  <c r="M5" i="8"/>
  <c r="G5" i="8"/>
  <c r="H5" i="8" s="1"/>
  <c r="J5" i="8" s="1"/>
  <c r="I5" i="8" s="1"/>
  <c r="F5" i="8"/>
  <c r="E5" i="8"/>
  <c r="D5" i="8"/>
  <c r="Q8" i="8" l="1"/>
  <c r="P8" i="8" s="1"/>
  <c r="O8" i="8"/>
  <c r="N8" i="8" s="1"/>
  <c r="H6" i="8"/>
  <c r="J6" i="8" s="1"/>
  <c r="I6" i="8" s="1"/>
  <c r="Q7" i="8"/>
  <c r="P7" i="8" s="1"/>
  <c r="O7" i="8"/>
  <c r="N7" i="8" s="1"/>
  <c r="O6" i="8"/>
  <c r="N6" i="8" s="1"/>
  <c r="O10" i="8"/>
  <c r="N10" i="8" s="1"/>
</calcChain>
</file>

<file path=xl/sharedStrings.xml><?xml version="1.0" encoding="utf-8"?>
<sst xmlns="http://schemas.openxmlformats.org/spreadsheetml/2006/main" count="39" uniqueCount="38">
  <si>
    <t>📊  단기투자 일별 입력 시트  —  매일 맨 아래 행에 추가</t>
  </si>
  <si>
    <t>🔵 파란색 셀 = 직접 입력  |  ⚫ 나머지 = Python 자동 계산  |  실현손익 없는 날은 E열 0 입력</t>
  </si>
  <si>
    <t>날짜</t>
  </si>
  <si>
    <t>기말자산
(원)</t>
  </si>
  <si>
    <t>입출금
(+매수/-매도)</t>
  </si>
  <si>
    <t>코스피
종가</t>
  </si>
  <si>
    <t>실현손익
(없으면 0)</t>
  </si>
  <si>
    <t>1번계좌
잔고</t>
  </si>
  <si>
    <t>2번계좌
잔고</t>
  </si>
  <si>
    <t>3번계좌
잔고</t>
  </si>
  <si>
    <t>4번계좌
잔고</t>
  </si>
  <si>
    <t>5번계좌
잔고</t>
  </si>
  <si>
    <t>6번계좌
잔고</t>
  </si>
  <si>
    <t>7번계좌
잔고</t>
  </si>
  <si>
    <t>8번계좌
잔고</t>
  </si>
  <si>
    <t>코스피</t>
  </si>
  <si>
    <t>총액</t>
  </si>
  <si>
    <t>구분</t>
  </si>
  <si>
    <t>투입원금</t>
  </si>
  <si>
    <t>수익금</t>
  </si>
  <si>
    <t>원금대비 수익률</t>
  </si>
  <si>
    <t>SOL S&amp;P500</t>
  </si>
  <si>
    <t>현금</t>
  </si>
  <si>
    <t>비중</t>
  </si>
  <si>
    <t>코스닥</t>
  </si>
  <si>
    <t>Ex-Fear</t>
  </si>
  <si>
    <t>레버리지</t>
  </si>
  <si>
    <t>Fear</t>
  </si>
  <si>
    <t>일반</t>
  </si>
  <si>
    <t>Neutral</t>
  </si>
  <si>
    <t>정수호(23.03~25.05)</t>
  </si>
  <si>
    <t>Greed</t>
  </si>
  <si>
    <t>전용집(23.03~23.11)</t>
  </si>
  <si>
    <t>Ex-Greed</t>
  </si>
  <si>
    <t>강민지(23.09~24.10)</t>
  </si>
  <si>
    <t>이호림(23.10~24.05)</t>
  </si>
  <si>
    <t>오소영(24.01~24.10)</t>
  </si>
  <si>
    <t>박지원(24.01~24.10)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</si>
</sst>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_-;\-* #,##0_-;_-* &quot;-&quot;??_-;_-@_-"/>
    <numFmt numFmtId="177" formatCode="[Red]\▲#,##0;[Blue]\▼##,#00"/>
    <numFmt numFmtId="178" formatCode="[Red]0.00%;[Blue]\-0.00%;0"/>
    <numFmt numFmtId="179" formatCode="yyyy\-mm\-dd"/>
    <numFmt numFmtId="180" formatCode="\+#,##0;\-#,##0;0"/>
  </numFmts>
  <fonts count="18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b/>
      <sz val="10"/>
      <color rgb="FF0933E7"/>
      <name val="맑은 고딕"/>
      <family val="3"/>
      <charset val="129"/>
      <scheme val="minor"/>
    </font>
    <font>
      <b/>
      <sz val="13"/>
      <color rgb="FFFFFFFF"/>
      <name val="Noto Sans KR"/>
      <family val="3"/>
      <charset val="129"/>
    </font>
    <font>
      <sz val="9"/>
      <color rgb="FF64748B"/>
      <name val="Noto Sans KR"/>
      <family val="3"/>
      <charset val="129"/>
    </font>
    <font>
      <b/>
      <sz val="9"/>
      <color rgb="FFE8C97A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0"/>
      <color rgb="FF1E293B"/>
      <name val="Noto Sans KR"/>
      <family val="3"/>
      <charset val="129"/>
    </font>
    <font>
      <b/>
      <sz val="10"/>
      <color rgb="FF1D4ED8"/>
      <name val="Noto Sans KR"/>
      <family val="3"/>
      <charset val="129"/>
    </font>
    <font>
      <sz val="10"/>
      <color rgb="FF1E293B"/>
      <name val="Noto Sans KR"/>
      <family val="3"/>
      <charset val="129"/>
    </font>
    <font>
      <b/>
      <sz val="10"/>
      <color rgb="FF15803D"/>
      <name val="Noto Sans K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A2744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15803D"/>
      </patternFill>
    </fill>
    <fill>
      <patternFill patternType="solid">
        <fgColor rgb="FFEEF2FF"/>
      </patternFill>
    </fill>
    <fill>
      <patternFill patternType="solid">
        <fgColor rgb="FFF8FAFC"/>
      </patternFill>
    </fill>
    <fill>
      <patternFill patternType="solid">
        <fgColor rgb="FFE8F5E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9" fontId="2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9" fontId="7" fillId="0" borderId="2" xfId="0" applyNumberFormat="1" applyFont="1" applyBorder="1">
      <alignment vertical="center"/>
    </xf>
    <xf numFmtId="9" fontId="7" fillId="0" borderId="2" xfId="2" applyFont="1" applyBorder="1">
      <alignment vertical="center"/>
    </xf>
    <xf numFmtId="177" fontId="4" fillId="0" borderId="0" xfId="0" applyNumberFormat="1" applyFont="1">
      <alignment vertical="center"/>
    </xf>
    <xf numFmtId="0" fontId="0" fillId="4" borderId="2" xfId="0" applyFill="1" applyBorder="1">
      <alignment vertical="center"/>
    </xf>
    <xf numFmtId="41" fontId="5" fillId="4" borderId="2" xfId="1" applyFont="1" applyFill="1" applyBorder="1">
      <alignment vertical="center"/>
    </xf>
    <xf numFmtId="41" fontId="5" fillId="4" borderId="5" xfId="1" applyFont="1" applyFill="1" applyBorder="1">
      <alignment vertical="center"/>
    </xf>
    <xf numFmtId="177" fontId="5" fillId="4" borderId="5" xfId="1" applyNumberFormat="1" applyFont="1" applyFill="1" applyBorder="1" applyAlignment="1">
      <alignment horizontal="right" vertical="center"/>
    </xf>
    <xf numFmtId="178" fontId="6" fillId="4" borderId="5" xfId="2" applyNumberFormat="1" applyFont="1" applyFill="1" applyBorder="1">
      <alignment vertical="center"/>
    </xf>
    <xf numFmtId="41" fontId="2" fillId="4" borderId="5" xfId="0" applyNumberFormat="1" applyFont="1" applyFill="1" applyBorder="1">
      <alignment vertical="center"/>
    </xf>
    <xf numFmtId="41" fontId="2" fillId="4" borderId="10" xfId="0" applyNumberFormat="1" applyFont="1" applyFill="1" applyBorder="1">
      <alignment vertical="center"/>
    </xf>
    <xf numFmtId="176" fontId="2" fillId="4" borderId="13" xfId="0" applyNumberFormat="1" applyFont="1" applyFill="1" applyBorder="1">
      <alignment vertical="center"/>
    </xf>
    <xf numFmtId="41" fontId="2" fillId="4" borderId="6" xfId="0" applyNumberFormat="1" applyFont="1" applyFill="1" applyBorder="1">
      <alignment vertical="center"/>
    </xf>
    <xf numFmtId="41" fontId="9" fillId="4" borderId="2" xfId="0" applyNumberFormat="1" applyFont="1" applyFill="1" applyBorder="1">
      <alignment vertical="center"/>
    </xf>
    <xf numFmtId="41" fontId="3" fillId="4" borderId="13" xfId="1" applyFont="1" applyFill="1" applyBorder="1">
      <alignment vertical="center"/>
    </xf>
    <xf numFmtId="176" fontId="7" fillId="4" borderId="13" xfId="1" applyNumberFormat="1" applyFont="1" applyFill="1" applyBorder="1">
      <alignment vertical="center"/>
    </xf>
    <xf numFmtId="41" fontId="8" fillId="4" borderId="6" xfId="1" applyFont="1" applyFill="1" applyBorder="1">
      <alignment vertical="center"/>
    </xf>
    <xf numFmtId="41" fontId="3" fillId="4" borderId="12" xfId="1" applyFont="1" applyFill="1" applyBorder="1">
      <alignment vertical="center"/>
    </xf>
    <xf numFmtId="178" fontId="6" fillId="4" borderId="2" xfId="2" applyNumberFormat="1" applyFont="1" applyFill="1" applyBorder="1">
      <alignment vertical="center"/>
    </xf>
    <xf numFmtId="41" fontId="0" fillId="4" borderId="2" xfId="0" applyNumberFormat="1" applyFill="1" applyBorder="1">
      <alignment vertical="center"/>
    </xf>
    <xf numFmtId="41" fontId="0" fillId="4" borderId="2" xfId="1" applyFont="1" applyFill="1" applyBorder="1">
      <alignment vertical="center"/>
    </xf>
    <xf numFmtId="176" fontId="2" fillId="4" borderId="14" xfId="0" applyNumberFormat="1" applyFont="1" applyFill="1" applyBorder="1">
      <alignment vertical="center"/>
    </xf>
    <xf numFmtId="176" fontId="7" fillId="4" borderId="14" xfId="1" applyNumberFormat="1" applyFont="1" applyFill="1" applyBorder="1">
      <alignment vertical="center"/>
    </xf>
    <xf numFmtId="0" fontId="7" fillId="0" borderId="0" xfId="0" applyFont="1">
      <alignment vertical="center"/>
    </xf>
    <xf numFmtId="176" fontId="2" fillId="4" borderId="11" xfId="0" applyNumberFormat="1" applyFont="1" applyFill="1" applyBorder="1">
      <alignment vertical="center"/>
    </xf>
    <xf numFmtId="176" fontId="7" fillId="4" borderId="11" xfId="1" applyNumberFormat="1" applyFont="1" applyFill="1" applyBorder="1">
      <alignment vertical="center"/>
    </xf>
    <xf numFmtId="0" fontId="0" fillId="0" borderId="0" xfId="0" applyAlignment="1"/>
    <xf numFmtId="0" fontId="12" fillId="5" borderId="16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179" fontId="14" fillId="9" borderId="16" xfId="0" applyNumberFormat="1" applyFont="1" applyFill="1" applyBorder="1" applyAlignment="1">
      <alignment horizontal="center" vertical="center"/>
    </xf>
    <xf numFmtId="3" fontId="15" fillId="9" borderId="16" xfId="0" applyNumberFormat="1" applyFont="1" applyFill="1" applyBorder="1" applyAlignment="1">
      <alignment horizontal="center" vertical="center"/>
    </xf>
    <xf numFmtId="180" fontId="15" fillId="9" borderId="16" xfId="0" applyNumberFormat="1" applyFont="1" applyFill="1" applyBorder="1" applyAlignment="1">
      <alignment horizontal="center" vertical="center"/>
    </xf>
    <xf numFmtId="4" fontId="15" fillId="9" borderId="16" xfId="0" applyNumberFormat="1" applyFont="1" applyFill="1" applyBorder="1" applyAlignment="1">
      <alignment horizontal="center" vertical="center"/>
    </xf>
    <xf numFmtId="3" fontId="16" fillId="10" borderId="16" xfId="0" applyNumberFormat="1" applyFont="1" applyFill="1" applyBorder="1" applyAlignment="1">
      <alignment horizontal="center" vertical="center"/>
    </xf>
    <xf numFmtId="3" fontId="17" fillId="11" borderId="16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0" borderId="0" xfId="0" applyAlignment="1"/>
    <xf numFmtId="0" fontId="10" fillId="5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12" xfId="0" applyBorder="1" applyAlignment="1"/>
    <xf numFmtId="41" fontId="4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9" xfId="0" applyBorder="1" applyAlignment="1"/>
    <xf numFmtId="41" fontId="4" fillId="0" borderId="1" xfId="1" applyFont="1" applyBorder="1" applyAlignment="1">
      <alignment horizontal="center" vertical="center"/>
    </xf>
    <xf numFmtId="0" fontId="0" fillId="0" borderId="15" xfId="0" applyBorder="1" applyAlignme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tabSelected="1" workbookViewId="0">
      <pane ySplit="3" topLeftCell="A161" activePane="bottomLeft" state="frozen"/>
      <selection pane="bottomLeft" activeCell="D180" sqref="D180"/>
    </sheetView>
  </sheetViews>
  <sheetFormatPr defaultRowHeight="16" x14ac:dyDescent="0.45"/>
  <cols>
    <col min="1" max="1" width="12" style="31" customWidth="1"/>
    <col min="2" max="3" width="16" style="31" customWidth="1"/>
    <col min="4" max="4" width="12" style="31" customWidth="1"/>
    <col min="5" max="5" width="16" style="31" customWidth="1"/>
    <col min="6" max="13" width="14" style="31" customWidth="1"/>
  </cols>
  <sheetData>
    <row r="1" spans="1:13" ht="32" customHeight="1" x14ac:dyDescent="0.45">
      <c r="A1" s="43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0" customHeight="1" x14ac:dyDescent="0.45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36" customHeight="1" x14ac:dyDescent="0.45">
      <c r="A3" s="32" t="s">
        <v>2</v>
      </c>
      <c r="B3" s="33" t="s">
        <v>3</v>
      </c>
      <c r="C3" s="33" t="s">
        <v>4</v>
      </c>
      <c r="D3" s="33" t="s">
        <v>5</v>
      </c>
      <c r="E3" s="33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</row>
    <row r="4" spans="1:13" ht="16.5" x14ac:dyDescent="0.45">
      <c r="A4" s="35">
        <v>46023</v>
      </c>
      <c r="B4" s="36">
        <v>69374425</v>
      </c>
      <c r="C4" s="37">
        <v>69374425</v>
      </c>
      <c r="D4" s="38">
        <v>4214.17</v>
      </c>
      <c r="E4" s="37">
        <v>0</v>
      </c>
      <c r="F4" s="39"/>
      <c r="G4" s="39"/>
      <c r="H4" s="39"/>
      <c r="I4" s="39"/>
      <c r="J4" s="39"/>
      <c r="K4" s="39"/>
      <c r="L4" s="39"/>
      <c r="M4" s="39"/>
    </row>
    <row r="5" spans="1:13" ht="16.5" x14ac:dyDescent="0.45">
      <c r="A5" s="35">
        <v>46024</v>
      </c>
      <c r="B5" s="36">
        <v>72303005</v>
      </c>
      <c r="C5" s="37">
        <v>-352155</v>
      </c>
      <c r="D5" s="38">
        <v>4309.63</v>
      </c>
      <c r="E5" s="37">
        <v>637905</v>
      </c>
      <c r="F5" s="39"/>
      <c r="G5" s="39"/>
      <c r="H5" s="39"/>
      <c r="I5" s="39"/>
      <c r="J5" s="39"/>
      <c r="K5" s="39"/>
      <c r="L5" s="39"/>
      <c r="M5" s="39"/>
    </row>
    <row r="6" spans="1:13" ht="16.5" x14ac:dyDescent="0.45">
      <c r="A6" s="35">
        <v>46025</v>
      </c>
      <c r="B6" s="36">
        <v>72303005</v>
      </c>
      <c r="C6" s="37">
        <v>0</v>
      </c>
      <c r="D6" s="38">
        <v>4309.63</v>
      </c>
      <c r="E6" s="37">
        <v>0</v>
      </c>
      <c r="F6" s="39"/>
      <c r="G6" s="39"/>
      <c r="H6" s="39"/>
      <c r="I6" s="39"/>
      <c r="J6" s="39"/>
      <c r="K6" s="39"/>
      <c r="L6" s="39"/>
      <c r="M6" s="39"/>
    </row>
    <row r="7" spans="1:13" ht="16.5" x14ac:dyDescent="0.45">
      <c r="A7" s="35">
        <v>46026</v>
      </c>
      <c r="B7" s="36">
        <v>72303005</v>
      </c>
      <c r="C7" s="37">
        <v>0</v>
      </c>
      <c r="D7" s="38">
        <v>4309.63</v>
      </c>
      <c r="E7" s="37">
        <v>0</v>
      </c>
      <c r="F7" s="39"/>
      <c r="G7" s="39"/>
      <c r="H7" s="39"/>
      <c r="I7" s="39"/>
      <c r="J7" s="39"/>
      <c r="K7" s="39"/>
      <c r="L7" s="39"/>
      <c r="M7" s="39"/>
    </row>
    <row r="8" spans="1:13" ht="16.5" x14ac:dyDescent="0.45">
      <c r="A8" s="35">
        <v>46027</v>
      </c>
      <c r="B8" s="36">
        <v>73472520</v>
      </c>
      <c r="C8" s="37">
        <v>-47785</v>
      </c>
      <c r="D8" s="38">
        <v>4457.5200000000004</v>
      </c>
      <c r="E8" s="37">
        <v>567748</v>
      </c>
      <c r="F8" s="39"/>
      <c r="G8" s="39"/>
      <c r="H8" s="39"/>
      <c r="I8" s="39"/>
      <c r="J8" s="39"/>
      <c r="K8" s="39"/>
      <c r="L8" s="39"/>
      <c r="M8" s="39"/>
    </row>
    <row r="9" spans="1:13" ht="16.5" x14ac:dyDescent="0.45">
      <c r="A9" s="35">
        <v>46028</v>
      </c>
      <c r="B9" s="36">
        <v>57636575</v>
      </c>
      <c r="C9" s="37">
        <v>-16104575</v>
      </c>
      <c r="D9" s="38">
        <v>4525.4799999999996</v>
      </c>
      <c r="E9" s="37">
        <v>219464</v>
      </c>
      <c r="F9" s="39"/>
      <c r="G9" s="39"/>
      <c r="H9" s="39"/>
      <c r="I9" s="39"/>
      <c r="J9" s="39"/>
      <c r="K9" s="39"/>
      <c r="L9" s="39"/>
      <c r="M9" s="39"/>
    </row>
    <row r="10" spans="1:13" ht="16.5" x14ac:dyDescent="0.45">
      <c r="A10" s="35">
        <v>46029</v>
      </c>
      <c r="B10" s="36">
        <v>46049635</v>
      </c>
      <c r="C10" s="37">
        <v>-10954965</v>
      </c>
      <c r="D10" s="38">
        <v>4551.0600000000004</v>
      </c>
      <c r="E10" s="37">
        <v>0</v>
      </c>
      <c r="F10" s="39"/>
      <c r="G10" s="39"/>
      <c r="H10" s="39"/>
      <c r="I10" s="39"/>
      <c r="J10" s="39"/>
      <c r="K10" s="39"/>
      <c r="L10" s="39"/>
      <c r="M10" s="39"/>
    </row>
    <row r="11" spans="1:13" ht="16.5" x14ac:dyDescent="0.45">
      <c r="A11" s="35">
        <v>46030</v>
      </c>
      <c r="B11" s="36">
        <v>57000985</v>
      </c>
      <c r="C11" s="37">
        <v>11025700</v>
      </c>
      <c r="D11" s="38">
        <v>4552.37</v>
      </c>
      <c r="E11" s="37">
        <v>0</v>
      </c>
      <c r="F11" s="39"/>
      <c r="G11" s="39"/>
      <c r="H11" s="39"/>
      <c r="I11" s="39"/>
      <c r="J11" s="39"/>
      <c r="K11" s="39"/>
      <c r="L11" s="39"/>
      <c r="M11" s="39"/>
    </row>
    <row r="12" spans="1:13" ht="16.5" x14ac:dyDescent="0.45">
      <c r="A12" s="35">
        <v>46031</v>
      </c>
      <c r="B12" s="36">
        <v>57141530</v>
      </c>
      <c r="C12" s="37">
        <v>0</v>
      </c>
      <c r="D12" s="38">
        <v>4586.32</v>
      </c>
      <c r="E12" s="37">
        <v>50895</v>
      </c>
      <c r="F12" s="39"/>
      <c r="G12" s="39"/>
      <c r="H12" s="39"/>
      <c r="I12" s="39"/>
      <c r="J12" s="39"/>
      <c r="K12" s="39"/>
      <c r="L12" s="39"/>
      <c r="M12" s="39"/>
    </row>
    <row r="13" spans="1:13" ht="16.5" x14ac:dyDescent="0.45">
      <c r="A13" s="35">
        <v>46032</v>
      </c>
      <c r="B13" s="36">
        <v>57141530</v>
      </c>
      <c r="C13" s="37">
        <v>0</v>
      </c>
      <c r="D13" s="38">
        <v>4586.32</v>
      </c>
      <c r="E13" s="37">
        <v>0</v>
      </c>
      <c r="F13" s="39"/>
      <c r="G13" s="39"/>
      <c r="H13" s="39"/>
      <c r="I13" s="39"/>
      <c r="J13" s="39"/>
      <c r="K13" s="39"/>
      <c r="L13" s="39"/>
      <c r="M13" s="39"/>
    </row>
    <row r="14" spans="1:13" ht="16.5" x14ac:dyDescent="0.45">
      <c r="A14" s="35">
        <v>46033</v>
      </c>
      <c r="B14" s="36">
        <v>57141530</v>
      </c>
      <c r="C14" s="37">
        <v>0</v>
      </c>
      <c r="D14" s="38">
        <v>4586.32</v>
      </c>
      <c r="E14" s="37">
        <v>0</v>
      </c>
      <c r="F14" s="39"/>
      <c r="G14" s="39"/>
      <c r="H14" s="39"/>
      <c r="I14" s="39"/>
      <c r="J14" s="39"/>
      <c r="K14" s="39"/>
      <c r="L14" s="39"/>
      <c r="M14" s="39"/>
    </row>
    <row r="15" spans="1:13" ht="16.5" x14ac:dyDescent="0.45">
      <c r="A15" s="35">
        <v>46034</v>
      </c>
      <c r="B15" s="36">
        <v>68682915</v>
      </c>
      <c r="C15" s="37">
        <v>12011560</v>
      </c>
      <c r="D15" s="38">
        <v>4624.79</v>
      </c>
      <c r="E15" s="37">
        <v>0</v>
      </c>
      <c r="F15" s="39"/>
      <c r="G15" s="39"/>
      <c r="H15" s="39"/>
      <c r="I15" s="39"/>
      <c r="J15" s="39"/>
      <c r="K15" s="39"/>
      <c r="L15" s="39"/>
      <c r="M15" s="39"/>
    </row>
    <row r="16" spans="1:13" ht="16.5" x14ac:dyDescent="0.45">
      <c r="A16" s="35">
        <v>46035</v>
      </c>
      <c r="B16" s="36">
        <v>65774520</v>
      </c>
      <c r="C16" s="37">
        <v>-3072285</v>
      </c>
      <c r="D16" s="38">
        <v>4692.6400000000003</v>
      </c>
      <c r="E16" s="37">
        <v>0</v>
      </c>
      <c r="F16" s="39"/>
      <c r="G16" s="39"/>
      <c r="H16" s="39"/>
      <c r="I16" s="39"/>
      <c r="J16" s="39"/>
      <c r="K16" s="39"/>
      <c r="L16" s="39"/>
      <c r="M16" s="39"/>
    </row>
    <row r="17" spans="1:13" ht="16.5" x14ac:dyDescent="0.45">
      <c r="A17" s="35">
        <v>46036</v>
      </c>
      <c r="B17" s="36">
        <v>76499400</v>
      </c>
      <c r="C17" s="37">
        <v>12037560</v>
      </c>
      <c r="D17" s="38">
        <v>4723.1000000000004</v>
      </c>
      <c r="E17" s="37">
        <v>0</v>
      </c>
      <c r="F17" s="39"/>
      <c r="G17" s="39"/>
      <c r="H17" s="39"/>
      <c r="I17" s="39"/>
      <c r="J17" s="39"/>
      <c r="K17" s="39"/>
      <c r="L17" s="39"/>
      <c r="M17" s="39"/>
    </row>
    <row r="18" spans="1:13" ht="16.5" x14ac:dyDescent="0.45">
      <c r="A18" s="35">
        <v>46037</v>
      </c>
      <c r="B18" s="36">
        <v>77729600</v>
      </c>
      <c r="C18" s="37">
        <v>0</v>
      </c>
      <c r="D18" s="38">
        <v>4797.55</v>
      </c>
      <c r="E18" s="37">
        <v>137220</v>
      </c>
      <c r="F18" s="39"/>
      <c r="G18" s="39"/>
      <c r="H18" s="39"/>
      <c r="I18" s="39"/>
      <c r="J18" s="39"/>
      <c r="K18" s="39"/>
      <c r="L18" s="39"/>
      <c r="M18" s="39"/>
    </row>
    <row r="19" spans="1:13" ht="16.5" x14ac:dyDescent="0.45">
      <c r="A19" s="35">
        <v>46038</v>
      </c>
      <c r="B19" s="36">
        <v>79093820</v>
      </c>
      <c r="C19" s="37">
        <v>0</v>
      </c>
      <c r="D19" s="38">
        <v>4840.74</v>
      </c>
      <c r="E19" s="37">
        <v>359198</v>
      </c>
      <c r="F19" s="39"/>
      <c r="G19" s="39"/>
      <c r="H19" s="39"/>
      <c r="I19" s="39"/>
      <c r="J19" s="39"/>
      <c r="K19" s="39"/>
      <c r="L19" s="39"/>
      <c r="M19" s="39"/>
    </row>
    <row r="20" spans="1:13" ht="16.5" x14ac:dyDescent="0.45">
      <c r="A20" s="35">
        <v>46039</v>
      </c>
      <c r="B20" s="36">
        <v>79093820</v>
      </c>
      <c r="C20" s="37">
        <v>0</v>
      </c>
      <c r="D20" s="38">
        <v>4840.74</v>
      </c>
      <c r="E20" s="37">
        <v>0</v>
      </c>
      <c r="F20" s="39"/>
      <c r="G20" s="39"/>
      <c r="H20" s="39"/>
      <c r="I20" s="39"/>
      <c r="J20" s="39"/>
      <c r="K20" s="39"/>
      <c r="L20" s="39"/>
      <c r="M20" s="39"/>
    </row>
    <row r="21" spans="1:13" ht="16.5" x14ac:dyDescent="0.45">
      <c r="A21" s="35">
        <v>46040</v>
      </c>
      <c r="B21" s="36">
        <v>79093820</v>
      </c>
      <c r="C21" s="37">
        <v>0</v>
      </c>
      <c r="D21" s="38">
        <v>4840.74</v>
      </c>
      <c r="E21" s="37">
        <v>0</v>
      </c>
      <c r="F21" s="39"/>
      <c r="G21" s="39"/>
      <c r="H21" s="39"/>
      <c r="I21" s="39"/>
      <c r="J21" s="39"/>
      <c r="K21" s="39"/>
      <c r="L21" s="39"/>
      <c r="M21" s="39"/>
    </row>
    <row r="22" spans="1:13" ht="16.5" x14ac:dyDescent="0.45">
      <c r="A22" s="35">
        <v>46041</v>
      </c>
      <c r="B22" s="36">
        <v>67774800</v>
      </c>
      <c r="C22" s="37">
        <v>-12168280</v>
      </c>
      <c r="D22" s="38">
        <v>4904.66</v>
      </c>
      <c r="E22" s="37">
        <v>1355409</v>
      </c>
      <c r="F22" s="39"/>
      <c r="G22" s="39"/>
      <c r="H22" s="39"/>
      <c r="I22" s="39"/>
      <c r="J22" s="39"/>
      <c r="K22" s="39"/>
      <c r="L22" s="39"/>
      <c r="M22" s="39"/>
    </row>
    <row r="23" spans="1:13" ht="16.5" x14ac:dyDescent="0.45">
      <c r="A23" s="35">
        <v>46042</v>
      </c>
      <c r="B23" s="36">
        <v>46395825</v>
      </c>
      <c r="C23" s="37">
        <v>-21551860</v>
      </c>
      <c r="D23" s="38">
        <v>4904.66</v>
      </c>
      <c r="E23" s="37">
        <v>716854</v>
      </c>
      <c r="F23" s="39"/>
      <c r="G23" s="39"/>
      <c r="H23" s="39"/>
      <c r="I23" s="39"/>
      <c r="J23" s="39"/>
      <c r="K23" s="39"/>
      <c r="L23" s="39"/>
      <c r="M23" s="39"/>
    </row>
    <row r="24" spans="1:13" ht="16.5" x14ac:dyDescent="0.45">
      <c r="A24" s="35">
        <v>46043</v>
      </c>
      <c r="B24" s="36">
        <v>26111330</v>
      </c>
      <c r="C24" s="37">
        <v>-19510155</v>
      </c>
      <c r="D24" s="38">
        <v>4909.93</v>
      </c>
      <c r="E24" s="37">
        <v>50520</v>
      </c>
      <c r="F24" s="39"/>
      <c r="G24" s="39"/>
      <c r="H24" s="39"/>
      <c r="I24" s="39"/>
      <c r="J24" s="39"/>
      <c r="K24" s="39"/>
      <c r="L24" s="39"/>
      <c r="M24" s="39"/>
    </row>
    <row r="25" spans="1:13" ht="16.5" x14ac:dyDescent="0.45">
      <c r="A25" s="35">
        <v>46044</v>
      </c>
      <c r="B25" s="36">
        <v>26822070</v>
      </c>
      <c r="C25" s="37">
        <v>0</v>
      </c>
      <c r="D25" s="38">
        <v>4952.53</v>
      </c>
      <c r="E25" s="37">
        <v>401877</v>
      </c>
      <c r="F25" s="39"/>
      <c r="G25" s="39"/>
      <c r="H25" s="39"/>
      <c r="I25" s="39"/>
      <c r="J25" s="39"/>
      <c r="K25" s="39"/>
      <c r="L25" s="39"/>
      <c r="M25" s="39"/>
    </row>
    <row r="26" spans="1:13" ht="16.5" x14ac:dyDescent="0.45">
      <c r="A26" s="35">
        <v>46045</v>
      </c>
      <c r="B26" s="36">
        <v>20027155</v>
      </c>
      <c r="C26" s="37">
        <v>-8022050</v>
      </c>
      <c r="D26" s="38">
        <v>4990.07</v>
      </c>
      <c r="E26" s="37">
        <v>871409</v>
      </c>
      <c r="F26" s="39"/>
      <c r="G26" s="39"/>
      <c r="H26" s="39"/>
      <c r="I26" s="39"/>
      <c r="J26" s="39"/>
      <c r="K26" s="39"/>
      <c r="L26" s="39"/>
      <c r="M26" s="39"/>
    </row>
    <row r="27" spans="1:13" ht="16.5" x14ac:dyDescent="0.45">
      <c r="A27" s="35">
        <v>46046</v>
      </c>
      <c r="B27" s="36">
        <v>20027155</v>
      </c>
      <c r="C27" s="37">
        <v>0</v>
      </c>
      <c r="D27" s="38">
        <v>4990.07</v>
      </c>
      <c r="E27" s="37">
        <v>0</v>
      </c>
      <c r="F27" s="39"/>
      <c r="G27" s="39"/>
      <c r="H27" s="39"/>
      <c r="I27" s="39"/>
      <c r="J27" s="39"/>
      <c r="K27" s="39"/>
      <c r="L27" s="39"/>
      <c r="M27" s="39"/>
    </row>
    <row r="28" spans="1:13" ht="16.5" x14ac:dyDescent="0.45">
      <c r="A28" s="35">
        <v>46047</v>
      </c>
      <c r="B28" s="36">
        <v>20027155</v>
      </c>
      <c r="C28" s="37">
        <v>0</v>
      </c>
      <c r="D28" s="38">
        <v>4990.07</v>
      </c>
      <c r="E28" s="37">
        <v>0</v>
      </c>
      <c r="F28" s="39"/>
      <c r="G28" s="39"/>
      <c r="H28" s="39"/>
      <c r="I28" s="39"/>
      <c r="J28" s="39"/>
      <c r="K28" s="39"/>
      <c r="L28" s="39"/>
      <c r="M28" s="39"/>
    </row>
    <row r="29" spans="1:13" ht="16.5" x14ac:dyDescent="0.45">
      <c r="A29" s="35">
        <v>46048</v>
      </c>
      <c r="B29" s="36">
        <v>12640975</v>
      </c>
      <c r="C29" s="37">
        <v>-8342640</v>
      </c>
      <c r="D29" s="38">
        <v>4949.59</v>
      </c>
      <c r="E29" s="37">
        <v>730049</v>
      </c>
      <c r="F29" s="39"/>
      <c r="G29" s="39"/>
      <c r="H29" s="39"/>
      <c r="I29" s="39"/>
      <c r="J29" s="39"/>
      <c r="K29" s="39"/>
      <c r="L29" s="39"/>
      <c r="M29" s="39"/>
    </row>
    <row r="30" spans="1:13" ht="16.5" x14ac:dyDescent="0.45">
      <c r="A30" s="35">
        <v>46049</v>
      </c>
      <c r="B30" s="36">
        <v>6918520</v>
      </c>
      <c r="C30" s="37">
        <v>-6062705</v>
      </c>
      <c r="D30" s="38">
        <v>5084.8500000000004</v>
      </c>
      <c r="E30" s="37">
        <v>641680</v>
      </c>
      <c r="F30" s="39"/>
      <c r="G30" s="39"/>
      <c r="H30" s="39"/>
      <c r="I30" s="39"/>
      <c r="J30" s="39"/>
      <c r="K30" s="39"/>
      <c r="L30" s="39"/>
      <c r="M30" s="39"/>
    </row>
    <row r="31" spans="1:13" ht="16.5" x14ac:dyDescent="0.45">
      <c r="A31" s="35">
        <v>46050</v>
      </c>
      <c r="B31" s="36">
        <v>6021035</v>
      </c>
      <c r="C31" s="37">
        <v>-1080245</v>
      </c>
      <c r="D31" s="38">
        <v>5170.8100000000004</v>
      </c>
      <c r="E31" s="37">
        <v>280270</v>
      </c>
      <c r="F31" s="39"/>
      <c r="G31" s="39"/>
      <c r="H31" s="39"/>
      <c r="I31" s="39"/>
      <c r="J31" s="39"/>
      <c r="K31" s="39"/>
      <c r="L31" s="39"/>
      <c r="M31" s="39"/>
    </row>
    <row r="32" spans="1:13" ht="16.5" x14ac:dyDescent="0.45">
      <c r="A32" s="35">
        <v>46051</v>
      </c>
      <c r="B32" s="36">
        <v>2714365</v>
      </c>
      <c r="C32" s="37">
        <v>-3357805</v>
      </c>
      <c r="D32" s="38">
        <v>5221.25</v>
      </c>
      <c r="E32" s="37">
        <v>166850</v>
      </c>
      <c r="F32" s="39"/>
      <c r="G32" s="39"/>
      <c r="H32" s="39"/>
      <c r="I32" s="39"/>
      <c r="J32" s="39"/>
      <c r="K32" s="39"/>
      <c r="L32" s="39"/>
      <c r="M32" s="39"/>
    </row>
    <row r="33" spans="1:13" ht="16.5" x14ac:dyDescent="0.45">
      <c r="A33" s="35">
        <v>46052</v>
      </c>
      <c r="B33" s="36">
        <v>6440955</v>
      </c>
      <c r="C33" s="37">
        <v>3736970</v>
      </c>
      <c r="D33" s="38">
        <v>5224.3599999999997</v>
      </c>
      <c r="E33" s="37">
        <v>28124</v>
      </c>
      <c r="F33" s="39"/>
      <c r="G33" s="39"/>
      <c r="H33" s="39"/>
      <c r="I33" s="39"/>
      <c r="J33" s="39"/>
      <c r="K33" s="39"/>
      <c r="L33" s="39"/>
      <c r="M33" s="39"/>
    </row>
    <row r="34" spans="1:13" ht="16.5" x14ac:dyDescent="0.45">
      <c r="A34" s="35">
        <v>46053</v>
      </c>
      <c r="B34" s="36">
        <v>6440955</v>
      </c>
      <c r="C34" s="37">
        <v>0</v>
      </c>
      <c r="D34" s="38">
        <v>5224.3599999999997</v>
      </c>
      <c r="E34" s="37">
        <v>0</v>
      </c>
      <c r="F34" s="39"/>
      <c r="G34" s="39"/>
      <c r="H34" s="39"/>
      <c r="I34" s="39"/>
      <c r="J34" s="39"/>
      <c r="K34" s="39"/>
      <c r="L34" s="39"/>
      <c r="M34" s="39"/>
    </row>
    <row r="35" spans="1:13" ht="16.5" x14ac:dyDescent="0.45">
      <c r="A35" s="35">
        <v>46054</v>
      </c>
      <c r="B35" s="36">
        <v>6440955</v>
      </c>
      <c r="C35" s="37">
        <v>0</v>
      </c>
      <c r="D35" s="38">
        <v>5224.3599999999997</v>
      </c>
      <c r="E35" s="37">
        <v>0</v>
      </c>
      <c r="F35" s="39"/>
      <c r="G35" s="39"/>
      <c r="H35" s="39"/>
      <c r="I35" s="39"/>
      <c r="J35" s="39"/>
      <c r="K35" s="39"/>
      <c r="L35" s="39"/>
      <c r="M35" s="39"/>
    </row>
    <row r="36" spans="1:13" ht="16.5" x14ac:dyDescent="0.45">
      <c r="A36" s="35">
        <v>46055</v>
      </c>
      <c r="B36" s="36">
        <v>16769580</v>
      </c>
      <c r="C36" s="37">
        <v>11068730</v>
      </c>
      <c r="D36" s="38">
        <v>4949.67</v>
      </c>
      <c r="E36" s="37">
        <v>0</v>
      </c>
      <c r="F36" s="39"/>
      <c r="G36" s="39"/>
      <c r="H36" s="39"/>
      <c r="I36" s="39"/>
      <c r="J36" s="39"/>
      <c r="K36" s="39"/>
      <c r="L36" s="39"/>
      <c r="M36" s="39"/>
    </row>
    <row r="37" spans="1:13" ht="16.5" x14ac:dyDescent="0.45">
      <c r="A37" s="35">
        <v>46056</v>
      </c>
      <c r="B37" s="36">
        <v>18463865</v>
      </c>
      <c r="C37" s="37">
        <v>0</v>
      </c>
      <c r="D37" s="38">
        <v>5288.08</v>
      </c>
      <c r="E37" s="37">
        <v>725738</v>
      </c>
      <c r="F37" s="39"/>
      <c r="G37" s="39"/>
      <c r="H37" s="39"/>
      <c r="I37" s="39"/>
      <c r="J37" s="39"/>
      <c r="K37" s="39"/>
      <c r="L37" s="39"/>
      <c r="M37" s="39"/>
    </row>
    <row r="38" spans="1:13" ht="16.5" x14ac:dyDescent="0.45">
      <c r="A38" s="35">
        <v>46057</v>
      </c>
      <c r="B38" s="36">
        <v>18837535</v>
      </c>
      <c r="C38" s="37">
        <v>407640</v>
      </c>
      <c r="D38" s="38">
        <v>5371.1</v>
      </c>
      <c r="E38" s="37">
        <v>151025</v>
      </c>
      <c r="F38" s="39"/>
      <c r="G38" s="39"/>
      <c r="H38" s="39"/>
      <c r="I38" s="39"/>
      <c r="J38" s="39"/>
      <c r="K38" s="39"/>
      <c r="L38" s="39"/>
      <c r="M38" s="39"/>
    </row>
    <row r="39" spans="1:13" ht="16.5" x14ac:dyDescent="0.45">
      <c r="A39" s="35">
        <v>46058</v>
      </c>
      <c r="B39" s="36">
        <v>28470830</v>
      </c>
      <c r="C39" s="37">
        <v>11012400</v>
      </c>
      <c r="D39" s="38">
        <v>5163.57</v>
      </c>
      <c r="E39" s="37">
        <v>0</v>
      </c>
      <c r="F39" s="39"/>
      <c r="G39" s="39"/>
      <c r="H39" s="39"/>
      <c r="I39" s="39"/>
      <c r="J39" s="39"/>
      <c r="K39" s="39"/>
      <c r="L39" s="39"/>
      <c r="M39" s="39"/>
    </row>
    <row r="40" spans="1:13" ht="16.5" x14ac:dyDescent="0.45">
      <c r="A40" s="35">
        <v>46059</v>
      </c>
      <c r="B40" s="36">
        <v>44989840</v>
      </c>
      <c r="C40" s="37">
        <v>18070100</v>
      </c>
      <c r="D40" s="38">
        <v>5089.1400000000003</v>
      </c>
      <c r="E40" s="37">
        <v>0</v>
      </c>
      <c r="F40" s="39"/>
      <c r="G40" s="39"/>
      <c r="H40" s="39"/>
      <c r="I40" s="39"/>
      <c r="J40" s="39"/>
      <c r="K40" s="39"/>
      <c r="L40" s="39"/>
      <c r="M40" s="39"/>
    </row>
    <row r="41" spans="1:13" ht="16.5" x14ac:dyDescent="0.45">
      <c r="A41" s="35">
        <v>46060</v>
      </c>
      <c r="B41" s="36">
        <v>44989840</v>
      </c>
      <c r="C41" s="37">
        <v>0</v>
      </c>
      <c r="D41" s="38">
        <v>5089.1400000000003</v>
      </c>
      <c r="E41" s="37">
        <v>0</v>
      </c>
      <c r="F41" s="39"/>
      <c r="G41" s="39"/>
      <c r="H41" s="39"/>
      <c r="I41" s="39"/>
      <c r="J41" s="39"/>
      <c r="K41" s="39"/>
      <c r="L41" s="39"/>
      <c r="M41" s="39"/>
    </row>
    <row r="42" spans="1:13" ht="16.5" x14ac:dyDescent="0.45">
      <c r="A42" s="35">
        <v>46061</v>
      </c>
      <c r="B42" s="36">
        <v>44989840</v>
      </c>
      <c r="C42" s="37">
        <v>0</v>
      </c>
      <c r="D42" s="38">
        <v>5089.1400000000003</v>
      </c>
      <c r="E42" s="37">
        <v>0</v>
      </c>
      <c r="F42" s="39"/>
      <c r="G42" s="39"/>
      <c r="H42" s="39"/>
      <c r="I42" s="39"/>
      <c r="J42" s="39"/>
      <c r="K42" s="39"/>
      <c r="L42" s="39"/>
      <c r="M42" s="39"/>
    </row>
    <row r="43" spans="1:13" ht="16.5" x14ac:dyDescent="0.45">
      <c r="A43" s="35">
        <v>46062</v>
      </c>
      <c r="B43" s="36">
        <v>49675230</v>
      </c>
      <c r="C43" s="37">
        <v>0</v>
      </c>
      <c r="D43" s="38">
        <v>5298.04</v>
      </c>
      <c r="E43" s="37">
        <v>1693361</v>
      </c>
      <c r="F43" s="39"/>
      <c r="G43" s="39"/>
      <c r="H43" s="39"/>
      <c r="I43" s="39"/>
      <c r="J43" s="39"/>
      <c r="K43" s="39"/>
      <c r="L43" s="39"/>
      <c r="M43" s="39"/>
    </row>
    <row r="44" spans="1:13" ht="16.5" x14ac:dyDescent="0.45">
      <c r="A44" s="35">
        <v>46063</v>
      </c>
      <c r="B44" s="36">
        <v>48664260</v>
      </c>
      <c r="C44" s="37">
        <v>117365</v>
      </c>
      <c r="D44" s="38">
        <v>5301.69</v>
      </c>
      <c r="E44" s="37">
        <v>340677</v>
      </c>
      <c r="F44" s="39"/>
      <c r="G44" s="39"/>
      <c r="H44" s="39"/>
      <c r="I44" s="39"/>
      <c r="J44" s="39"/>
      <c r="K44" s="39"/>
      <c r="L44" s="39"/>
      <c r="M44" s="39"/>
    </row>
    <row r="45" spans="1:13" ht="16.5" x14ac:dyDescent="0.45">
      <c r="A45" s="35">
        <v>46064</v>
      </c>
      <c r="B45" s="36">
        <v>37749770</v>
      </c>
      <c r="C45" s="37">
        <v>-10848445</v>
      </c>
      <c r="D45" s="38">
        <v>5354.49</v>
      </c>
      <c r="E45" s="37">
        <v>49798</v>
      </c>
      <c r="F45" s="39"/>
      <c r="G45" s="39"/>
      <c r="H45" s="39"/>
      <c r="I45" s="39"/>
      <c r="J45" s="39"/>
      <c r="K45" s="39"/>
      <c r="L45" s="39"/>
      <c r="M45" s="39"/>
    </row>
    <row r="46" spans="1:13" ht="16.5" x14ac:dyDescent="0.45">
      <c r="A46" s="35">
        <v>46065</v>
      </c>
      <c r="B46" s="36">
        <v>33928860</v>
      </c>
      <c r="C46" s="37">
        <v>-4819880</v>
      </c>
      <c r="D46" s="38">
        <v>5521.29</v>
      </c>
      <c r="E46" s="37">
        <v>370225</v>
      </c>
      <c r="F46" s="39"/>
      <c r="G46" s="39"/>
      <c r="H46" s="39"/>
      <c r="I46" s="39"/>
      <c r="J46" s="39"/>
      <c r="K46" s="39"/>
      <c r="L46" s="39"/>
      <c r="M46" s="39"/>
    </row>
    <row r="47" spans="1:13" ht="16.5" x14ac:dyDescent="0.45">
      <c r="A47" s="35">
        <v>46066</v>
      </c>
      <c r="B47" s="36">
        <v>35140615</v>
      </c>
      <c r="C47" s="37">
        <v>2191405</v>
      </c>
      <c r="D47" s="38">
        <v>5507.01</v>
      </c>
      <c r="E47" s="37">
        <v>0</v>
      </c>
      <c r="F47" s="39"/>
      <c r="G47" s="39"/>
      <c r="H47" s="39"/>
      <c r="I47" s="39"/>
      <c r="J47" s="39"/>
      <c r="K47" s="39"/>
      <c r="L47" s="39"/>
      <c r="M47" s="39"/>
    </row>
    <row r="48" spans="1:13" ht="16.5" x14ac:dyDescent="0.45">
      <c r="A48" s="35">
        <v>46067</v>
      </c>
      <c r="B48" s="36">
        <v>35140615</v>
      </c>
      <c r="C48" s="37">
        <v>0</v>
      </c>
      <c r="D48" s="38">
        <v>5507.01</v>
      </c>
      <c r="E48" s="37">
        <v>0</v>
      </c>
      <c r="F48" s="39"/>
      <c r="G48" s="39"/>
      <c r="H48" s="39"/>
      <c r="I48" s="39"/>
      <c r="J48" s="39"/>
      <c r="K48" s="39"/>
      <c r="L48" s="39"/>
      <c r="M48" s="39"/>
    </row>
    <row r="49" spans="1:13" ht="16.5" x14ac:dyDescent="0.45">
      <c r="A49" s="35">
        <v>46068</v>
      </c>
      <c r="B49" s="36">
        <v>35140615</v>
      </c>
      <c r="C49" s="37">
        <v>0</v>
      </c>
      <c r="D49" s="38">
        <v>5507.01</v>
      </c>
      <c r="E49" s="37">
        <v>0</v>
      </c>
      <c r="F49" s="39"/>
      <c r="G49" s="39"/>
      <c r="H49" s="39"/>
      <c r="I49" s="39"/>
      <c r="J49" s="39"/>
      <c r="K49" s="39"/>
      <c r="L49" s="39"/>
      <c r="M49" s="39"/>
    </row>
    <row r="50" spans="1:13" ht="16.5" x14ac:dyDescent="0.45">
      <c r="A50" s="35">
        <v>46069</v>
      </c>
      <c r="B50" s="36">
        <v>35140615</v>
      </c>
      <c r="C50" s="37">
        <v>0</v>
      </c>
      <c r="D50" s="38">
        <v>5507.01</v>
      </c>
      <c r="E50" s="37">
        <v>0</v>
      </c>
      <c r="F50" s="39"/>
      <c r="G50" s="39"/>
      <c r="H50" s="39"/>
      <c r="I50" s="39"/>
      <c r="J50" s="39"/>
      <c r="K50" s="39"/>
      <c r="L50" s="39"/>
      <c r="M50" s="39"/>
    </row>
    <row r="51" spans="1:13" ht="16.5" x14ac:dyDescent="0.45">
      <c r="A51" s="35">
        <v>46070</v>
      </c>
      <c r="B51" s="36">
        <v>35140615</v>
      </c>
      <c r="C51" s="37">
        <v>0</v>
      </c>
      <c r="D51" s="38">
        <v>5507.01</v>
      </c>
      <c r="E51" s="37">
        <v>0</v>
      </c>
      <c r="F51" s="39"/>
      <c r="G51" s="39"/>
      <c r="H51" s="39"/>
      <c r="I51" s="39"/>
      <c r="J51" s="39"/>
      <c r="K51" s="39"/>
      <c r="L51" s="39"/>
      <c r="M51" s="39"/>
    </row>
    <row r="52" spans="1:13" ht="16.5" x14ac:dyDescent="0.45">
      <c r="A52" s="35">
        <v>46071</v>
      </c>
      <c r="B52" s="36">
        <v>35140615</v>
      </c>
      <c r="C52" s="37">
        <v>0</v>
      </c>
      <c r="D52" s="38">
        <v>5507.01</v>
      </c>
      <c r="E52" s="37">
        <v>0</v>
      </c>
      <c r="F52" s="39"/>
      <c r="G52" s="39"/>
      <c r="H52" s="39"/>
      <c r="I52" s="39"/>
      <c r="J52" s="39"/>
      <c r="K52" s="39"/>
      <c r="L52" s="39"/>
      <c r="M52" s="39"/>
    </row>
    <row r="53" spans="1:13" ht="16.5" x14ac:dyDescent="0.45">
      <c r="A53" s="35">
        <v>46072</v>
      </c>
      <c r="B53" s="36">
        <v>39894145</v>
      </c>
      <c r="C53" s="37">
        <v>-136650</v>
      </c>
      <c r="D53" s="38">
        <v>5677.25</v>
      </c>
      <c r="E53" s="37">
        <v>1961418</v>
      </c>
      <c r="F53" s="39"/>
      <c r="G53" s="39"/>
      <c r="H53" s="39"/>
      <c r="I53" s="39"/>
      <c r="J53" s="39"/>
      <c r="K53" s="39"/>
      <c r="L53" s="39"/>
      <c r="M53" s="39"/>
    </row>
    <row r="54" spans="1:13" ht="16.5" x14ac:dyDescent="0.45">
      <c r="A54" s="35">
        <v>46073</v>
      </c>
      <c r="B54" s="36">
        <v>39787620</v>
      </c>
      <c r="C54" s="37">
        <v>0</v>
      </c>
      <c r="D54" s="38">
        <v>5808.53</v>
      </c>
      <c r="E54" s="37">
        <v>106406</v>
      </c>
      <c r="F54" s="39"/>
      <c r="G54" s="39"/>
      <c r="H54" s="39"/>
      <c r="I54" s="39"/>
      <c r="J54" s="39"/>
      <c r="K54" s="39"/>
      <c r="L54" s="39"/>
      <c r="M54" s="39"/>
    </row>
    <row r="55" spans="1:13" ht="16.5" x14ac:dyDescent="0.45">
      <c r="A55" s="35">
        <v>46074</v>
      </c>
      <c r="B55" s="36">
        <v>39787620</v>
      </c>
      <c r="C55" s="37">
        <v>0</v>
      </c>
      <c r="D55" s="38">
        <v>5808.53</v>
      </c>
      <c r="E55" s="37">
        <v>0</v>
      </c>
      <c r="F55" s="39"/>
      <c r="G55" s="39"/>
      <c r="H55" s="39"/>
      <c r="I55" s="39"/>
      <c r="J55" s="39"/>
      <c r="K55" s="39"/>
      <c r="L55" s="39"/>
      <c r="M55" s="39"/>
    </row>
    <row r="56" spans="1:13" ht="16.5" x14ac:dyDescent="0.45">
      <c r="A56" s="35">
        <v>46075</v>
      </c>
      <c r="B56" s="36">
        <v>39787620</v>
      </c>
      <c r="C56" s="37">
        <v>0</v>
      </c>
      <c r="D56" s="38">
        <v>5808.53</v>
      </c>
      <c r="E56" s="37">
        <v>0</v>
      </c>
      <c r="F56" s="39"/>
      <c r="G56" s="39"/>
      <c r="H56" s="39"/>
      <c r="I56" s="39"/>
      <c r="J56" s="39"/>
      <c r="K56" s="39"/>
      <c r="L56" s="39"/>
      <c r="M56" s="39"/>
    </row>
    <row r="57" spans="1:13" ht="16.5" x14ac:dyDescent="0.45">
      <c r="A57" s="35">
        <v>46076</v>
      </c>
      <c r="B57" s="36">
        <v>36390830</v>
      </c>
      <c r="C57" s="37">
        <v>-2727770</v>
      </c>
      <c r="D57" s="38">
        <v>5846.09</v>
      </c>
      <c r="E57" s="37">
        <v>59278</v>
      </c>
      <c r="F57" s="39"/>
      <c r="G57" s="39"/>
      <c r="H57" s="39"/>
      <c r="I57" s="39"/>
      <c r="J57" s="39"/>
      <c r="K57" s="39"/>
      <c r="L57" s="39"/>
      <c r="M57" s="39"/>
    </row>
    <row r="58" spans="1:13" ht="16.5" x14ac:dyDescent="0.45">
      <c r="A58" s="35">
        <v>46077</v>
      </c>
      <c r="B58" s="36">
        <v>36101485</v>
      </c>
      <c r="C58" s="37">
        <v>-939680</v>
      </c>
      <c r="D58" s="38">
        <v>5969.64</v>
      </c>
      <c r="E58" s="37">
        <v>521440</v>
      </c>
      <c r="F58" s="39"/>
      <c r="G58" s="39"/>
      <c r="H58" s="39"/>
      <c r="I58" s="39"/>
      <c r="J58" s="39"/>
      <c r="K58" s="39"/>
      <c r="L58" s="39"/>
      <c r="M58" s="39"/>
    </row>
    <row r="59" spans="1:13" ht="16.5" x14ac:dyDescent="0.45">
      <c r="A59" s="35">
        <v>46078</v>
      </c>
      <c r="B59" s="36">
        <v>35670325</v>
      </c>
      <c r="C59" s="37">
        <v>-475915</v>
      </c>
      <c r="D59" s="38">
        <v>6083.86</v>
      </c>
      <c r="E59" s="37">
        <v>250666</v>
      </c>
      <c r="F59" s="39"/>
      <c r="G59" s="39"/>
      <c r="H59" s="39"/>
      <c r="I59" s="39"/>
      <c r="J59" s="39"/>
      <c r="K59" s="39"/>
      <c r="L59" s="39"/>
      <c r="M59" s="39"/>
    </row>
    <row r="60" spans="1:13" ht="16.5" x14ac:dyDescent="0.45">
      <c r="A60" s="35">
        <v>46079</v>
      </c>
      <c r="B60" s="36">
        <v>16688745</v>
      </c>
      <c r="C60" s="37">
        <v>-19511380</v>
      </c>
      <c r="D60" s="38">
        <v>6307.27</v>
      </c>
      <c r="E60" s="37">
        <v>551307</v>
      </c>
      <c r="F60" s="39"/>
      <c r="G60" s="39"/>
      <c r="H60" s="39"/>
      <c r="I60" s="39"/>
      <c r="J60" s="39"/>
      <c r="K60" s="39"/>
      <c r="L60" s="39"/>
      <c r="M60" s="39"/>
    </row>
    <row r="61" spans="1:13" ht="16.5" x14ac:dyDescent="0.45">
      <c r="A61" s="35">
        <v>46080</v>
      </c>
      <c r="B61" s="36">
        <v>8588695</v>
      </c>
      <c r="C61" s="37">
        <v>-8111670</v>
      </c>
      <c r="D61" s="38">
        <v>6244.13</v>
      </c>
      <c r="E61" s="37">
        <v>126490</v>
      </c>
      <c r="F61" s="39"/>
      <c r="G61" s="39"/>
      <c r="H61" s="39"/>
      <c r="I61" s="39"/>
      <c r="J61" s="39"/>
      <c r="K61" s="39"/>
      <c r="L61" s="39"/>
      <c r="M61" s="39"/>
    </row>
    <row r="62" spans="1:13" ht="16.5" x14ac:dyDescent="0.45">
      <c r="A62" s="35">
        <v>46081</v>
      </c>
      <c r="B62" s="36">
        <v>8588695</v>
      </c>
      <c r="C62" s="37">
        <v>0</v>
      </c>
      <c r="D62" s="38">
        <v>6244.13</v>
      </c>
      <c r="E62" s="37">
        <v>0</v>
      </c>
      <c r="F62" s="39"/>
      <c r="G62" s="39"/>
      <c r="H62" s="39"/>
      <c r="I62" s="39"/>
      <c r="J62" s="39"/>
      <c r="K62" s="39"/>
      <c r="L62" s="39"/>
      <c r="M62" s="39"/>
    </row>
    <row r="63" spans="1:13" ht="16.5" x14ac:dyDescent="0.45">
      <c r="A63" s="35">
        <v>46082</v>
      </c>
      <c r="B63" s="36">
        <v>8588695</v>
      </c>
      <c r="C63" s="37">
        <v>0</v>
      </c>
      <c r="D63" s="38">
        <v>6244.13</v>
      </c>
      <c r="E63" s="37">
        <v>0</v>
      </c>
      <c r="F63" s="39"/>
      <c r="G63" s="39"/>
      <c r="H63" s="39"/>
      <c r="I63" s="39"/>
      <c r="J63" s="39"/>
      <c r="K63" s="39"/>
      <c r="L63" s="39"/>
      <c r="M63" s="39"/>
    </row>
    <row r="64" spans="1:13" ht="16.5" x14ac:dyDescent="0.45">
      <c r="A64" s="35">
        <v>46083</v>
      </c>
      <c r="B64" s="36">
        <v>8588695</v>
      </c>
      <c r="C64" s="37">
        <v>0</v>
      </c>
      <c r="D64" s="38">
        <v>6244.13</v>
      </c>
      <c r="E64" s="37">
        <v>0</v>
      </c>
      <c r="F64" s="39"/>
      <c r="G64" s="39"/>
      <c r="H64" s="39"/>
      <c r="I64" s="39"/>
      <c r="J64" s="39"/>
      <c r="K64" s="39"/>
      <c r="L64" s="39"/>
      <c r="M64" s="39"/>
    </row>
    <row r="65" spans="1:13" ht="16.5" x14ac:dyDescent="0.45">
      <c r="A65" s="35">
        <v>46084</v>
      </c>
      <c r="B65" s="36">
        <v>17185140</v>
      </c>
      <c r="C65" s="37">
        <v>9156149</v>
      </c>
      <c r="D65" s="38">
        <v>5791.91</v>
      </c>
      <c r="E65" s="37">
        <v>0</v>
      </c>
      <c r="F65" s="39"/>
      <c r="G65" s="39"/>
      <c r="H65" s="39"/>
      <c r="I65" s="39"/>
      <c r="J65" s="39"/>
      <c r="K65" s="39"/>
      <c r="L65" s="39"/>
      <c r="M65" s="39"/>
    </row>
    <row r="66" spans="1:13" ht="16.5" x14ac:dyDescent="0.45">
      <c r="A66" s="35">
        <v>46085</v>
      </c>
      <c r="B66" s="36">
        <v>28243200</v>
      </c>
      <c r="C66" s="37">
        <v>15534800</v>
      </c>
      <c r="D66" s="38">
        <v>5093.54</v>
      </c>
      <c r="E66" s="37">
        <v>0</v>
      </c>
      <c r="F66" s="39"/>
      <c r="G66" s="39"/>
      <c r="H66" s="39"/>
      <c r="I66" s="39"/>
      <c r="J66" s="39"/>
      <c r="K66" s="39"/>
      <c r="L66" s="39"/>
      <c r="M66" s="39"/>
    </row>
    <row r="67" spans="1:13" ht="16.5" x14ac:dyDescent="0.45">
      <c r="A67" s="35">
        <v>46086</v>
      </c>
      <c r="B67" s="36">
        <v>34688430</v>
      </c>
      <c r="C67" s="37">
        <v>0</v>
      </c>
      <c r="D67" s="38">
        <v>5583.9</v>
      </c>
      <c r="E67" s="37">
        <v>2340462</v>
      </c>
      <c r="F67" s="39"/>
      <c r="G67" s="39"/>
      <c r="H67" s="39"/>
      <c r="I67" s="39"/>
      <c r="J67" s="39"/>
      <c r="K67" s="39"/>
      <c r="L67" s="39"/>
      <c r="M67" s="39"/>
    </row>
    <row r="68" spans="1:13" ht="16.5" x14ac:dyDescent="0.45">
      <c r="A68" s="35">
        <v>46087</v>
      </c>
      <c r="B68" s="36">
        <v>35885380</v>
      </c>
      <c r="C68" s="37">
        <v>484610</v>
      </c>
      <c r="D68" s="38">
        <v>5584.87</v>
      </c>
      <c r="E68" s="37">
        <v>724725</v>
      </c>
      <c r="F68" s="39"/>
      <c r="G68" s="39"/>
      <c r="H68" s="39"/>
      <c r="I68" s="39"/>
      <c r="J68" s="39"/>
      <c r="K68" s="39"/>
      <c r="L68" s="39"/>
      <c r="M68" s="39"/>
    </row>
    <row r="69" spans="1:13" ht="16.5" x14ac:dyDescent="0.45">
      <c r="A69" s="35">
        <v>46088</v>
      </c>
      <c r="B69" s="36">
        <v>35885380</v>
      </c>
      <c r="C69" s="37">
        <v>0</v>
      </c>
      <c r="D69" s="38">
        <v>5584.87</v>
      </c>
      <c r="E69" s="37">
        <v>0</v>
      </c>
      <c r="F69" s="39"/>
      <c r="G69" s="39"/>
      <c r="H69" s="39"/>
      <c r="I69" s="39"/>
      <c r="J69" s="39"/>
      <c r="K69" s="39"/>
      <c r="L69" s="39"/>
      <c r="M69" s="39"/>
    </row>
    <row r="70" spans="1:13" ht="16.5" x14ac:dyDescent="0.45">
      <c r="A70" s="35">
        <v>46089</v>
      </c>
      <c r="B70" s="36">
        <v>35885380</v>
      </c>
      <c r="C70" s="37">
        <v>0</v>
      </c>
      <c r="D70" s="38">
        <v>5584.87</v>
      </c>
      <c r="E70" s="37">
        <v>0</v>
      </c>
      <c r="F70" s="39"/>
      <c r="G70" s="39"/>
      <c r="H70" s="39"/>
      <c r="I70" s="39"/>
      <c r="J70" s="39"/>
      <c r="K70" s="39"/>
      <c r="L70" s="39"/>
      <c r="M70" s="39"/>
    </row>
    <row r="71" spans="1:13" ht="16.5" x14ac:dyDescent="0.45">
      <c r="A71" s="35">
        <v>46090</v>
      </c>
      <c r="B71" s="36">
        <v>35057765</v>
      </c>
      <c r="C71" s="37">
        <v>1708340</v>
      </c>
      <c r="D71" s="38">
        <v>5251.87</v>
      </c>
      <c r="E71" s="37">
        <v>0</v>
      </c>
      <c r="F71" s="39"/>
      <c r="G71" s="39"/>
      <c r="H71" s="39"/>
      <c r="I71" s="39"/>
      <c r="J71" s="39"/>
      <c r="K71" s="39"/>
      <c r="L71" s="39"/>
      <c r="M71" s="39"/>
    </row>
    <row r="72" spans="1:13" ht="16.5" x14ac:dyDescent="0.45">
      <c r="A72" s="35">
        <v>46091</v>
      </c>
      <c r="B72" s="36">
        <v>38301045</v>
      </c>
      <c r="C72" s="37">
        <v>0</v>
      </c>
      <c r="D72" s="38">
        <v>5532.59</v>
      </c>
      <c r="E72" s="37">
        <v>866851</v>
      </c>
      <c r="F72" s="39"/>
      <c r="G72" s="39"/>
      <c r="H72" s="39"/>
      <c r="I72" s="39"/>
      <c r="J72" s="39"/>
      <c r="K72" s="39"/>
      <c r="L72" s="39"/>
      <c r="M72" s="39"/>
    </row>
    <row r="73" spans="1:13" ht="16.5" x14ac:dyDescent="0.45">
      <c r="A73" s="35">
        <v>46092</v>
      </c>
      <c r="B73" s="36">
        <v>38281760</v>
      </c>
      <c r="C73" s="37">
        <v>0</v>
      </c>
      <c r="D73" s="38">
        <v>5609.95</v>
      </c>
      <c r="E73" s="37">
        <v>364486</v>
      </c>
      <c r="F73" s="39"/>
      <c r="G73" s="39"/>
      <c r="H73" s="39"/>
      <c r="I73" s="39"/>
      <c r="J73" s="39"/>
      <c r="K73" s="39"/>
      <c r="L73" s="39"/>
      <c r="M73" s="39"/>
    </row>
    <row r="74" spans="1:13" ht="16.5" x14ac:dyDescent="0.45">
      <c r="A74" s="35">
        <v>46093</v>
      </c>
      <c r="B74" s="36">
        <v>27619075</v>
      </c>
      <c r="C74" s="37">
        <v>-10662155</v>
      </c>
      <c r="D74" s="38">
        <v>5583.25</v>
      </c>
      <c r="E74" s="37">
        <v>27300</v>
      </c>
      <c r="F74" s="39"/>
      <c r="G74" s="39"/>
      <c r="H74" s="39"/>
      <c r="I74" s="39"/>
      <c r="J74" s="39"/>
      <c r="K74" s="39"/>
      <c r="L74" s="39"/>
      <c r="M74" s="39"/>
    </row>
    <row r="75" spans="1:13" ht="16.5" x14ac:dyDescent="0.45">
      <c r="A75" s="35">
        <v>46094</v>
      </c>
      <c r="B75" s="36">
        <v>35030225</v>
      </c>
      <c r="C75" s="37">
        <v>7787150</v>
      </c>
      <c r="D75" s="38">
        <v>5487.24</v>
      </c>
      <c r="E75" s="37">
        <v>0</v>
      </c>
      <c r="F75" s="39"/>
      <c r="G75" s="39"/>
      <c r="H75" s="39"/>
      <c r="I75" s="39"/>
      <c r="J75" s="39"/>
      <c r="K75" s="39"/>
      <c r="L75" s="39"/>
      <c r="M75" s="39"/>
    </row>
    <row r="76" spans="1:13" ht="16.5" x14ac:dyDescent="0.45">
      <c r="A76" s="35">
        <v>46095</v>
      </c>
      <c r="B76" s="36">
        <v>35030225</v>
      </c>
      <c r="C76" s="37">
        <v>0</v>
      </c>
      <c r="D76" s="38">
        <v>5487.24</v>
      </c>
      <c r="E76" s="37">
        <v>0</v>
      </c>
      <c r="F76" s="39"/>
      <c r="G76" s="39"/>
      <c r="H76" s="39"/>
      <c r="I76" s="39"/>
      <c r="J76" s="39"/>
      <c r="K76" s="39"/>
      <c r="L76" s="39"/>
      <c r="M76" s="39"/>
    </row>
    <row r="77" spans="1:13" ht="16.5" x14ac:dyDescent="0.45">
      <c r="A77" s="35">
        <v>46096</v>
      </c>
      <c r="B77" s="36">
        <v>35030225</v>
      </c>
      <c r="C77" s="37">
        <v>0</v>
      </c>
      <c r="D77" s="38">
        <v>5487.24</v>
      </c>
      <c r="E77" s="37">
        <v>0</v>
      </c>
      <c r="F77" s="39"/>
      <c r="G77" s="39"/>
      <c r="H77" s="39"/>
      <c r="I77" s="39"/>
      <c r="J77" s="39"/>
      <c r="K77" s="39"/>
      <c r="L77" s="39"/>
      <c r="M77" s="39"/>
    </row>
    <row r="78" spans="1:13" ht="16.5" x14ac:dyDescent="0.45">
      <c r="A78" s="35">
        <v>46097</v>
      </c>
      <c r="B78" s="36">
        <v>39368875</v>
      </c>
      <c r="C78" s="37">
        <v>4008520</v>
      </c>
      <c r="D78" s="38">
        <v>5549.85</v>
      </c>
      <c r="E78" s="37">
        <v>162293</v>
      </c>
      <c r="F78" s="39"/>
      <c r="G78" s="39"/>
      <c r="H78" s="39"/>
      <c r="I78" s="39"/>
      <c r="J78" s="39"/>
      <c r="K78" s="39"/>
      <c r="L78" s="39"/>
      <c r="M78" s="39"/>
    </row>
    <row r="79" spans="1:13" ht="16.5" x14ac:dyDescent="0.45">
      <c r="A79" s="35">
        <v>46098</v>
      </c>
      <c r="B79" s="36">
        <v>37804350</v>
      </c>
      <c r="C79" s="37">
        <v>-4277965</v>
      </c>
      <c r="D79" s="38">
        <v>5925.03</v>
      </c>
      <c r="E79" s="37">
        <v>326423</v>
      </c>
      <c r="F79" s="39"/>
      <c r="G79" s="39"/>
      <c r="H79" s="39"/>
      <c r="I79" s="39"/>
      <c r="J79" s="39"/>
      <c r="K79" s="39"/>
      <c r="L79" s="39"/>
      <c r="M79" s="39"/>
    </row>
    <row r="80" spans="1:13" ht="16.5" x14ac:dyDescent="0.45">
      <c r="A80" s="35">
        <v>46099</v>
      </c>
      <c r="B80" s="36">
        <v>32778790</v>
      </c>
      <c r="C80" s="37">
        <v>-4304200</v>
      </c>
      <c r="D80" s="38">
        <v>5763.22</v>
      </c>
      <c r="E80" s="37">
        <v>902676</v>
      </c>
      <c r="F80" s="39"/>
      <c r="G80" s="39"/>
      <c r="H80" s="39"/>
      <c r="I80" s="39"/>
      <c r="J80" s="39"/>
      <c r="K80" s="39"/>
      <c r="L80" s="39"/>
      <c r="M80" s="39"/>
    </row>
    <row r="81" spans="1:13" ht="16.5" x14ac:dyDescent="0.45">
      <c r="A81" s="35">
        <v>46100</v>
      </c>
      <c r="B81" s="36">
        <v>32778790</v>
      </c>
      <c r="C81" s="37">
        <v>0</v>
      </c>
      <c r="D81" s="38">
        <v>5763.22</v>
      </c>
      <c r="E81" s="37">
        <v>0</v>
      </c>
      <c r="F81" s="39"/>
      <c r="G81" s="39"/>
      <c r="H81" s="39"/>
      <c r="I81" s="39"/>
      <c r="J81" s="39"/>
      <c r="K81" s="39"/>
      <c r="L81" s="39"/>
      <c r="M81" s="39"/>
    </row>
    <row r="82" spans="1:13" ht="16.5" x14ac:dyDescent="0.45">
      <c r="A82" s="35">
        <v>46101</v>
      </c>
      <c r="B82" s="36">
        <v>33266820</v>
      </c>
      <c r="C82" s="37">
        <v>0</v>
      </c>
      <c r="D82" s="38">
        <v>5781.2</v>
      </c>
      <c r="E82" s="37">
        <v>236843</v>
      </c>
      <c r="F82" s="39"/>
      <c r="G82" s="39"/>
      <c r="H82" s="39"/>
      <c r="I82" s="39"/>
      <c r="J82" s="39"/>
      <c r="K82" s="39"/>
      <c r="L82" s="39"/>
      <c r="M82" s="39"/>
    </row>
    <row r="83" spans="1:13" ht="16.5" x14ac:dyDescent="0.45">
      <c r="A83" s="35">
        <v>46102</v>
      </c>
      <c r="B83" s="36">
        <v>33266820</v>
      </c>
      <c r="C83" s="37">
        <v>0</v>
      </c>
      <c r="D83" s="38">
        <v>5781.2</v>
      </c>
      <c r="E83" s="37">
        <v>0</v>
      </c>
      <c r="F83" s="39"/>
      <c r="G83" s="39"/>
      <c r="H83" s="39"/>
      <c r="I83" s="39"/>
      <c r="J83" s="39"/>
      <c r="K83" s="39"/>
      <c r="L83" s="39"/>
      <c r="M83" s="39"/>
    </row>
    <row r="84" spans="1:13" ht="16.5" x14ac:dyDescent="0.45">
      <c r="A84" s="35">
        <v>46103</v>
      </c>
      <c r="B84" s="36">
        <v>33266820</v>
      </c>
      <c r="C84" s="37">
        <v>0</v>
      </c>
      <c r="D84" s="38">
        <v>5781.2</v>
      </c>
      <c r="E84" s="37">
        <v>0</v>
      </c>
      <c r="F84" s="39"/>
      <c r="G84" s="39"/>
      <c r="H84" s="39"/>
      <c r="I84" s="39"/>
      <c r="J84" s="39"/>
      <c r="K84" s="39"/>
      <c r="L84" s="39"/>
      <c r="M84" s="39"/>
    </row>
    <row r="85" spans="1:13" ht="16.5" x14ac:dyDescent="0.45">
      <c r="A85" s="35">
        <v>46104</v>
      </c>
      <c r="B85" s="36">
        <v>31827660</v>
      </c>
      <c r="C85" s="37">
        <v>798320</v>
      </c>
      <c r="D85" s="38">
        <v>5405.75</v>
      </c>
      <c r="E85" s="37">
        <v>0</v>
      </c>
      <c r="F85" s="39"/>
      <c r="G85" s="39"/>
      <c r="H85" s="39"/>
      <c r="I85" s="39"/>
      <c r="J85" s="39"/>
      <c r="K85" s="39"/>
      <c r="L85" s="39"/>
      <c r="M85" s="39"/>
    </row>
    <row r="86" spans="1:13" ht="16.5" x14ac:dyDescent="0.45">
      <c r="A86" s="35">
        <v>46105</v>
      </c>
      <c r="B86" s="36">
        <v>33570830</v>
      </c>
      <c r="C86" s="37">
        <v>0</v>
      </c>
      <c r="D86" s="38">
        <v>5553.92</v>
      </c>
      <c r="E86" s="37">
        <v>426860</v>
      </c>
      <c r="F86" s="39"/>
      <c r="G86" s="39"/>
      <c r="H86" s="39"/>
      <c r="I86" s="39"/>
      <c r="J86" s="39"/>
      <c r="K86" s="39"/>
      <c r="L86" s="39"/>
      <c r="M86" s="39"/>
    </row>
    <row r="87" spans="1:13" ht="16.5" x14ac:dyDescent="0.45">
      <c r="A87" s="35">
        <v>46106</v>
      </c>
      <c r="B87" s="36">
        <v>34652090</v>
      </c>
      <c r="C87" s="37">
        <v>0</v>
      </c>
      <c r="D87" s="38">
        <v>5642.21</v>
      </c>
      <c r="E87" s="37">
        <v>732533</v>
      </c>
      <c r="F87" s="39"/>
      <c r="G87" s="39"/>
      <c r="H87" s="39"/>
      <c r="I87" s="39"/>
      <c r="J87" s="39"/>
      <c r="K87" s="39"/>
      <c r="L87" s="39"/>
      <c r="M87" s="39"/>
    </row>
    <row r="88" spans="1:13" ht="16.5" x14ac:dyDescent="0.45">
      <c r="A88" s="35">
        <v>46107</v>
      </c>
      <c r="B88" s="36">
        <v>31694950</v>
      </c>
      <c r="C88" s="37">
        <v>-2388370</v>
      </c>
      <c r="D88" s="38">
        <v>5460.46</v>
      </c>
      <c r="E88" s="37">
        <v>0</v>
      </c>
      <c r="F88" s="39"/>
      <c r="G88" s="39"/>
      <c r="H88" s="39"/>
      <c r="I88" s="39"/>
      <c r="J88" s="39"/>
      <c r="K88" s="39"/>
      <c r="L88" s="39"/>
      <c r="M88" s="39"/>
    </row>
    <row r="89" spans="1:13" ht="16.5" x14ac:dyDescent="0.45">
      <c r="A89" s="35">
        <v>46108</v>
      </c>
      <c r="B89" s="36">
        <v>24862300</v>
      </c>
      <c r="C89" s="37">
        <v>-6795310</v>
      </c>
      <c r="D89" s="38">
        <v>5438.87</v>
      </c>
      <c r="E89" s="37">
        <v>48090</v>
      </c>
      <c r="F89" s="39"/>
      <c r="G89" s="39"/>
      <c r="H89" s="39"/>
      <c r="I89" s="39"/>
      <c r="J89" s="39"/>
      <c r="K89" s="39"/>
      <c r="L89" s="39"/>
      <c r="M89" s="39"/>
    </row>
    <row r="90" spans="1:13" ht="16.5" x14ac:dyDescent="0.45">
      <c r="A90" s="35">
        <v>46109</v>
      </c>
      <c r="B90" s="36">
        <v>24862300</v>
      </c>
      <c r="C90" s="37">
        <v>0</v>
      </c>
      <c r="D90" s="38">
        <v>5438.87</v>
      </c>
      <c r="E90" s="37">
        <v>0</v>
      </c>
      <c r="F90" s="39"/>
      <c r="G90" s="39"/>
      <c r="H90" s="39"/>
      <c r="I90" s="39"/>
      <c r="J90" s="39"/>
      <c r="K90" s="39"/>
      <c r="L90" s="39"/>
      <c r="M90" s="39"/>
    </row>
    <row r="91" spans="1:13" ht="16.5" x14ac:dyDescent="0.45">
      <c r="A91" s="35">
        <v>46110</v>
      </c>
      <c r="B91" s="36">
        <v>24862300</v>
      </c>
      <c r="C91" s="37">
        <v>0</v>
      </c>
      <c r="D91" s="38">
        <v>5438.87</v>
      </c>
      <c r="E91" s="37">
        <v>0</v>
      </c>
      <c r="F91" s="39"/>
      <c r="G91" s="39"/>
      <c r="H91" s="39"/>
      <c r="I91" s="39"/>
      <c r="J91" s="39"/>
      <c r="K91" s="39"/>
      <c r="L91" s="39"/>
      <c r="M91" s="39"/>
    </row>
    <row r="92" spans="1:13" ht="16.5" x14ac:dyDescent="0.45">
      <c r="A92" s="35">
        <v>46111</v>
      </c>
      <c r="B92" s="36">
        <v>37531240</v>
      </c>
      <c r="C92" s="37">
        <v>14204280</v>
      </c>
      <c r="D92" s="38">
        <v>5277.3</v>
      </c>
      <c r="E92" s="37">
        <v>0</v>
      </c>
      <c r="F92" s="39"/>
      <c r="G92" s="39"/>
      <c r="H92" s="39"/>
      <c r="I92" s="39"/>
      <c r="J92" s="39"/>
      <c r="K92" s="39"/>
      <c r="L92" s="39"/>
      <c r="M92" s="39"/>
    </row>
    <row r="93" spans="1:13" ht="16.5" x14ac:dyDescent="0.45">
      <c r="A93" s="35">
        <v>46112</v>
      </c>
      <c r="B93" s="36">
        <v>52153400</v>
      </c>
      <c r="C93" s="37">
        <v>18132020</v>
      </c>
      <c r="D93" s="38">
        <v>5052.46</v>
      </c>
      <c r="E93" s="37">
        <v>0</v>
      </c>
      <c r="F93" s="39"/>
      <c r="G93" s="39"/>
      <c r="H93" s="39"/>
      <c r="I93" s="39"/>
      <c r="J93" s="39"/>
      <c r="K93" s="39"/>
      <c r="L93" s="39"/>
      <c r="M93" s="39"/>
    </row>
    <row r="94" spans="1:13" ht="16.5" x14ac:dyDescent="0.45">
      <c r="A94" s="35">
        <v>46113</v>
      </c>
      <c r="B94" s="36">
        <v>60636940</v>
      </c>
      <c r="C94" s="37">
        <v>0</v>
      </c>
      <c r="D94" s="38">
        <v>5478.7</v>
      </c>
      <c r="E94" s="37">
        <v>2458304</v>
      </c>
      <c r="F94" s="39"/>
      <c r="G94" s="39"/>
      <c r="H94" s="39"/>
      <c r="I94" s="39"/>
      <c r="J94" s="39"/>
      <c r="K94" s="39"/>
      <c r="L94" s="39"/>
      <c r="M94" s="39"/>
    </row>
    <row r="95" spans="1:13" ht="16.5" x14ac:dyDescent="0.45">
      <c r="A95" s="35">
        <v>46114</v>
      </c>
      <c r="B95" s="36">
        <v>58071805</v>
      </c>
      <c r="C95" s="37">
        <v>895290</v>
      </c>
      <c r="D95" s="38">
        <v>5234.05</v>
      </c>
      <c r="E95" s="37">
        <v>0</v>
      </c>
      <c r="F95" s="39"/>
      <c r="G95" s="39"/>
      <c r="H95" s="39"/>
      <c r="I95" s="39"/>
      <c r="J95" s="39"/>
      <c r="K95" s="39"/>
      <c r="L95" s="39"/>
      <c r="M95" s="39"/>
    </row>
    <row r="96" spans="1:13" ht="16.5" x14ac:dyDescent="0.45">
      <c r="A96" s="35">
        <v>46115</v>
      </c>
      <c r="B96" s="36">
        <v>59160880</v>
      </c>
      <c r="C96" s="37">
        <v>-811240</v>
      </c>
      <c r="D96" s="38">
        <v>5377.3</v>
      </c>
      <c r="E96" s="37">
        <v>721685</v>
      </c>
      <c r="F96" s="39"/>
      <c r="G96" s="39"/>
      <c r="H96" s="39"/>
      <c r="I96" s="39"/>
      <c r="J96" s="39"/>
      <c r="K96" s="39"/>
      <c r="L96" s="39"/>
      <c r="M96" s="39"/>
    </row>
    <row r="97" spans="1:13" ht="16.5" x14ac:dyDescent="0.45">
      <c r="A97" s="35">
        <v>46116</v>
      </c>
      <c r="B97" s="36">
        <v>59160880</v>
      </c>
      <c r="C97" s="37">
        <v>0</v>
      </c>
      <c r="D97" s="38">
        <v>5377.3</v>
      </c>
      <c r="E97" s="37">
        <v>0</v>
      </c>
      <c r="F97" s="39"/>
      <c r="G97" s="39"/>
      <c r="H97" s="39"/>
      <c r="I97" s="39"/>
      <c r="J97" s="39"/>
      <c r="K97" s="39"/>
      <c r="L97" s="39"/>
      <c r="M97" s="39"/>
    </row>
    <row r="98" spans="1:13" ht="16.5" x14ac:dyDescent="0.45">
      <c r="A98" s="35">
        <v>46117</v>
      </c>
      <c r="B98" s="36">
        <v>59160880</v>
      </c>
      <c r="C98" s="37">
        <v>0</v>
      </c>
      <c r="D98" s="38">
        <v>5377.3</v>
      </c>
      <c r="E98" s="37">
        <v>0</v>
      </c>
      <c r="F98" s="39"/>
      <c r="G98" s="39"/>
      <c r="H98" s="39"/>
      <c r="I98" s="39"/>
      <c r="J98" s="39"/>
      <c r="K98" s="39"/>
      <c r="L98" s="39"/>
      <c r="M98" s="39"/>
    </row>
    <row r="99" spans="1:13" ht="16.5" x14ac:dyDescent="0.45">
      <c r="A99" s="35">
        <v>46118</v>
      </c>
      <c r="B99" s="36">
        <v>58925770</v>
      </c>
      <c r="C99" s="37">
        <v>0</v>
      </c>
      <c r="D99" s="38">
        <v>5450.33</v>
      </c>
      <c r="E99" s="37">
        <v>586978</v>
      </c>
      <c r="F99" s="39"/>
      <c r="G99" s="39"/>
      <c r="H99" s="39"/>
      <c r="I99" s="39"/>
      <c r="J99" s="39"/>
      <c r="K99" s="39"/>
      <c r="L99" s="39"/>
      <c r="M99" s="39"/>
    </row>
    <row r="100" spans="1:13" ht="16.5" x14ac:dyDescent="0.45">
      <c r="A100" s="35">
        <v>46119</v>
      </c>
      <c r="B100" s="36">
        <v>70076700</v>
      </c>
      <c r="C100" s="37">
        <v>11088925</v>
      </c>
      <c r="D100" s="38">
        <v>5494.78</v>
      </c>
      <c r="E100" s="37">
        <v>143653</v>
      </c>
      <c r="F100" s="39"/>
      <c r="G100" s="39"/>
      <c r="H100" s="39"/>
      <c r="I100" s="39"/>
      <c r="J100" s="39"/>
      <c r="K100" s="39"/>
      <c r="L100" s="39"/>
      <c r="M100" s="39"/>
    </row>
    <row r="101" spans="1:13" ht="16.5" x14ac:dyDescent="0.45">
      <c r="A101" s="35">
        <v>46120</v>
      </c>
      <c r="B101" s="36">
        <v>75301860</v>
      </c>
      <c r="C101" s="37">
        <v>-2086425</v>
      </c>
      <c r="D101" s="38">
        <v>5872.34</v>
      </c>
      <c r="E101" s="37">
        <v>2425024</v>
      </c>
      <c r="F101" s="39"/>
      <c r="G101" s="39"/>
      <c r="H101" s="39"/>
      <c r="I101" s="39"/>
      <c r="J101" s="39"/>
      <c r="K101" s="39"/>
      <c r="L101" s="39"/>
      <c r="M101" s="39"/>
    </row>
    <row r="102" spans="1:13" ht="16.5" x14ac:dyDescent="0.45">
      <c r="A102" s="35">
        <v>46121</v>
      </c>
      <c r="B102" s="36">
        <v>74096920</v>
      </c>
      <c r="C102" s="37">
        <v>69360</v>
      </c>
      <c r="D102" s="38">
        <v>5778.01</v>
      </c>
      <c r="E102" s="37">
        <v>0</v>
      </c>
      <c r="F102" s="39"/>
      <c r="G102" s="39"/>
      <c r="H102" s="39"/>
      <c r="I102" s="39"/>
      <c r="J102" s="39"/>
      <c r="K102" s="39"/>
      <c r="L102" s="39"/>
      <c r="M102" s="39"/>
    </row>
    <row r="103" spans="1:13" ht="16.5" x14ac:dyDescent="0.45">
      <c r="A103" s="35">
        <v>46122</v>
      </c>
      <c r="B103" s="36">
        <v>60380435</v>
      </c>
      <c r="C103" s="37">
        <v>-14934975</v>
      </c>
      <c r="D103" s="38">
        <v>5858.87</v>
      </c>
      <c r="E103" s="37">
        <v>848960</v>
      </c>
      <c r="F103" s="39"/>
      <c r="G103" s="39"/>
      <c r="H103" s="39"/>
      <c r="I103" s="39"/>
      <c r="J103" s="39"/>
      <c r="K103" s="39"/>
      <c r="L103" s="39"/>
      <c r="M103" s="39"/>
    </row>
    <row r="104" spans="1:13" ht="16.5" x14ac:dyDescent="0.45">
      <c r="A104" s="35">
        <v>46125</v>
      </c>
      <c r="B104" s="36">
        <v>64114880</v>
      </c>
      <c r="C104" s="37">
        <v>4087400</v>
      </c>
      <c r="D104" s="38">
        <v>5808.62</v>
      </c>
      <c r="E104" s="37">
        <v>0</v>
      </c>
      <c r="F104" s="39"/>
      <c r="G104" s="39"/>
      <c r="H104" s="39"/>
      <c r="I104" s="39"/>
      <c r="J104" s="39"/>
      <c r="K104" s="39"/>
      <c r="L104" s="39"/>
      <c r="M104" s="39"/>
    </row>
    <row r="105" spans="1:13" ht="16.5" x14ac:dyDescent="0.45">
      <c r="A105" s="35">
        <v>46126</v>
      </c>
      <c r="B105" s="36">
        <v>58002265</v>
      </c>
      <c r="C105" s="37">
        <v>-8213915</v>
      </c>
      <c r="D105" s="38">
        <v>5967.74</v>
      </c>
      <c r="E105" s="37">
        <v>1321896</v>
      </c>
      <c r="F105" s="39"/>
      <c r="G105" s="39"/>
      <c r="H105" s="39"/>
      <c r="I105" s="39"/>
      <c r="J105" s="39"/>
      <c r="K105" s="39"/>
      <c r="L105" s="39"/>
      <c r="M105" s="39"/>
    </row>
    <row r="106" spans="1:13" ht="16.5" x14ac:dyDescent="0.45">
      <c r="A106" s="35">
        <v>46127</v>
      </c>
      <c r="B106" s="36">
        <v>59705055</v>
      </c>
      <c r="C106" s="37">
        <v>0</v>
      </c>
      <c r="D106" s="38">
        <v>6091.39</v>
      </c>
      <c r="E106" s="37">
        <v>1479255</v>
      </c>
      <c r="F106" s="39"/>
      <c r="G106" s="39"/>
      <c r="H106" s="39"/>
      <c r="I106" s="39"/>
      <c r="J106" s="39"/>
      <c r="K106" s="39"/>
      <c r="L106" s="39"/>
      <c r="M106" s="39"/>
    </row>
    <row r="107" spans="1:13" ht="16.5" x14ac:dyDescent="0.45">
      <c r="A107" s="35">
        <v>46128</v>
      </c>
      <c r="B107" s="36">
        <v>28780930</v>
      </c>
      <c r="C107" s="37">
        <v>-31279810</v>
      </c>
      <c r="D107" s="38">
        <v>6226.05</v>
      </c>
      <c r="E107" s="37">
        <v>572636</v>
      </c>
      <c r="F107" s="39"/>
      <c r="G107" s="39"/>
      <c r="H107" s="39"/>
      <c r="I107" s="39"/>
      <c r="J107" s="39"/>
      <c r="K107" s="39"/>
      <c r="L107" s="39"/>
      <c r="M107" s="39"/>
    </row>
    <row r="108" spans="1:13" ht="16.5" x14ac:dyDescent="0.45">
      <c r="A108" s="35">
        <v>46129</v>
      </c>
      <c r="B108" s="36">
        <v>28105055</v>
      </c>
      <c r="C108" s="37">
        <v>-633815</v>
      </c>
      <c r="D108" s="38">
        <v>6191.92</v>
      </c>
      <c r="E108" s="37">
        <v>0</v>
      </c>
      <c r="F108" s="39"/>
      <c r="G108" s="39"/>
      <c r="H108" s="39"/>
      <c r="I108" s="39"/>
      <c r="J108" s="39"/>
      <c r="K108" s="39"/>
      <c r="L108" s="39"/>
      <c r="M108" s="39"/>
    </row>
    <row r="109" spans="1:13" ht="16.5" x14ac:dyDescent="0.45">
      <c r="A109" s="35">
        <v>46130</v>
      </c>
      <c r="B109" s="36">
        <v>28105055</v>
      </c>
      <c r="C109" s="37">
        <v>0</v>
      </c>
      <c r="D109" s="38">
        <v>6192.92</v>
      </c>
      <c r="E109" s="37">
        <v>0</v>
      </c>
      <c r="F109" s="39"/>
      <c r="G109" s="39"/>
      <c r="H109" s="39"/>
      <c r="I109" s="39"/>
      <c r="J109" s="39"/>
      <c r="K109" s="39"/>
      <c r="L109" s="39"/>
      <c r="M109" s="39"/>
    </row>
    <row r="110" spans="1:13" ht="16.5" x14ac:dyDescent="0.45">
      <c r="A110" s="35">
        <v>46131</v>
      </c>
      <c r="B110" s="36">
        <v>28105055</v>
      </c>
      <c r="C110" s="37">
        <v>0</v>
      </c>
      <c r="D110" s="38">
        <v>6193.92</v>
      </c>
      <c r="E110" s="37">
        <v>0</v>
      </c>
      <c r="F110" s="39"/>
      <c r="G110" s="39"/>
      <c r="H110" s="39"/>
      <c r="I110" s="39"/>
      <c r="J110" s="39"/>
      <c r="K110" s="39"/>
      <c r="L110" s="39"/>
      <c r="M110" s="39"/>
    </row>
    <row r="111" spans="1:13" ht="16.5" x14ac:dyDescent="0.45">
      <c r="A111" s="35">
        <v>46132</v>
      </c>
      <c r="B111" s="36">
        <v>28474420</v>
      </c>
      <c r="C111" s="37">
        <v>0</v>
      </c>
      <c r="D111" s="38">
        <v>6219.09</v>
      </c>
      <c r="E111" s="37">
        <v>399740</v>
      </c>
      <c r="F111" s="39"/>
      <c r="G111" s="39"/>
      <c r="H111" s="39"/>
      <c r="I111" s="39"/>
      <c r="J111" s="39"/>
      <c r="K111" s="39"/>
      <c r="L111" s="39"/>
      <c r="M111" s="39"/>
    </row>
    <row r="112" spans="1:13" ht="16.5" x14ac:dyDescent="0.45">
      <c r="A112" s="35">
        <v>46133</v>
      </c>
      <c r="B112" s="36">
        <v>28851965</v>
      </c>
      <c r="C112" s="37">
        <v>0</v>
      </c>
      <c r="D112" s="38">
        <v>6388.47</v>
      </c>
      <c r="E112" s="37">
        <v>376848</v>
      </c>
      <c r="F112" s="39"/>
      <c r="G112" s="39"/>
      <c r="H112" s="39"/>
      <c r="I112" s="39"/>
      <c r="J112" s="39"/>
      <c r="K112" s="39"/>
      <c r="L112" s="39"/>
      <c r="M112" s="39"/>
    </row>
    <row r="113" spans="1:13" ht="16.5" x14ac:dyDescent="0.45">
      <c r="A113" s="35">
        <v>46134</v>
      </c>
      <c r="B113" s="36">
        <v>20467915</v>
      </c>
      <c r="C113" s="37">
        <v>-8377275</v>
      </c>
      <c r="D113" s="38">
        <v>6417.93</v>
      </c>
      <c r="E113" s="37">
        <v>106053</v>
      </c>
      <c r="F113" s="39"/>
      <c r="G113" s="39"/>
      <c r="H113" s="39"/>
      <c r="I113" s="39"/>
      <c r="J113" s="39"/>
      <c r="K113" s="39"/>
      <c r="L113" s="39"/>
      <c r="M113" s="39"/>
    </row>
    <row r="114" spans="1:13" ht="16.5" x14ac:dyDescent="0.45">
      <c r="A114" s="35">
        <v>46135</v>
      </c>
      <c r="B114" s="36">
        <v>25227570</v>
      </c>
      <c r="C114" s="37">
        <v>4937120</v>
      </c>
      <c r="D114" s="38">
        <v>6475.81</v>
      </c>
      <c r="E114" s="37">
        <v>56738</v>
      </c>
      <c r="F114" s="39"/>
      <c r="G114" s="39"/>
      <c r="H114" s="39"/>
      <c r="I114" s="39"/>
      <c r="J114" s="39"/>
      <c r="K114" s="39"/>
      <c r="L114" s="39"/>
      <c r="M114" s="39"/>
    </row>
    <row r="115" spans="1:13" ht="16.5" x14ac:dyDescent="0.45">
      <c r="A115" s="35">
        <v>46136</v>
      </c>
      <c r="B115" s="36">
        <v>28952695</v>
      </c>
      <c r="C115" s="37">
        <v>2368930</v>
      </c>
      <c r="D115" s="38">
        <v>6475.63</v>
      </c>
      <c r="E115" s="37">
        <v>751330</v>
      </c>
      <c r="F115" s="39"/>
      <c r="G115" s="39"/>
      <c r="H115" s="39"/>
      <c r="I115" s="39"/>
      <c r="J115" s="39"/>
      <c r="K115" s="39"/>
      <c r="L115" s="39"/>
      <c r="M115" s="39"/>
    </row>
    <row r="116" spans="1:13" ht="16.5" x14ac:dyDescent="0.45">
      <c r="A116" s="35">
        <v>46137</v>
      </c>
      <c r="B116" s="36">
        <v>28952695</v>
      </c>
      <c r="C116" s="37">
        <v>0</v>
      </c>
      <c r="D116" s="38">
        <v>6475.63</v>
      </c>
      <c r="E116" s="37">
        <v>0</v>
      </c>
      <c r="F116" s="39"/>
      <c r="G116" s="39"/>
      <c r="H116" s="39"/>
      <c r="I116" s="39"/>
      <c r="J116" s="39"/>
      <c r="K116" s="39"/>
      <c r="L116" s="39"/>
      <c r="M116" s="39"/>
    </row>
    <row r="117" spans="1:13" ht="16.5" x14ac:dyDescent="0.45">
      <c r="A117" s="35">
        <v>46138</v>
      </c>
      <c r="B117" s="36">
        <v>28952695</v>
      </c>
      <c r="C117" s="37">
        <v>0</v>
      </c>
      <c r="D117" s="38">
        <v>6475.63</v>
      </c>
      <c r="E117" s="37">
        <v>0</v>
      </c>
      <c r="F117" s="39"/>
      <c r="G117" s="39"/>
      <c r="H117" s="39"/>
      <c r="I117" s="39"/>
      <c r="J117" s="39"/>
      <c r="K117" s="39"/>
      <c r="L117" s="39"/>
      <c r="M117" s="39"/>
    </row>
    <row r="118" spans="1:13" ht="16.5" x14ac:dyDescent="0.45">
      <c r="A118" s="35">
        <v>46139</v>
      </c>
      <c r="B118" s="36">
        <v>29721740</v>
      </c>
      <c r="C118" s="37">
        <v>0</v>
      </c>
      <c r="D118" s="38">
        <v>6615.03</v>
      </c>
      <c r="E118" s="37">
        <v>967896</v>
      </c>
      <c r="F118" s="39"/>
      <c r="G118" s="39"/>
      <c r="H118" s="39"/>
      <c r="I118" s="39"/>
      <c r="J118" s="39"/>
      <c r="K118" s="39"/>
      <c r="L118" s="39"/>
      <c r="M118" s="39"/>
    </row>
    <row r="119" spans="1:13" ht="16.5" x14ac:dyDescent="0.45">
      <c r="A119" s="35">
        <v>46140</v>
      </c>
      <c r="B119" s="36">
        <v>19082970</v>
      </c>
      <c r="C119" s="37">
        <v>-10598470</v>
      </c>
      <c r="D119" s="38">
        <v>6616.03</v>
      </c>
      <c r="E119" s="37">
        <v>76540</v>
      </c>
      <c r="F119" s="39"/>
      <c r="G119" s="39"/>
      <c r="H119" s="39"/>
      <c r="I119" s="39"/>
      <c r="J119" s="39"/>
      <c r="K119" s="39"/>
      <c r="L119" s="39"/>
      <c r="M119" s="39"/>
    </row>
    <row r="120" spans="1:13" ht="16.5" x14ac:dyDescent="0.45">
      <c r="A120" s="35">
        <v>46141</v>
      </c>
      <c r="B120" s="36">
        <v>14780445</v>
      </c>
      <c r="C120" s="37">
        <v>-4421805</v>
      </c>
      <c r="D120" s="38">
        <v>6690.9</v>
      </c>
      <c r="E120" s="37">
        <v>178187</v>
      </c>
      <c r="F120" s="39"/>
      <c r="G120" s="39"/>
      <c r="H120" s="39"/>
      <c r="I120" s="39"/>
      <c r="J120" s="39"/>
      <c r="K120" s="39"/>
      <c r="L120" s="39"/>
      <c r="M120" s="39"/>
    </row>
    <row r="121" spans="1:13" ht="16.5" x14ac:dyDescent="0.45">
      <c r="A121" s="35">
        <v>46142</v>
      </c>
      <c r="B121" s="36">
        <v>22294450</v>
      </c>
      <c r="C121" s="37">
        <v>7746340</v>
      </c>
      <c r="D121" s="38">
        <v>6598.87</v>
      </c>
      <c r="E121" s="37">
        <v>0</v>
      </c>
      <c r="F121" s="39"/>
      <c r="G121" s="39"/>
      <c r="H121" s="39"/>
      <c r="I121" s="39"/>
      <c r="J121" s="39"/>
      <c r="K121" s="39"/>
      <c r="L121" s="39"/>
      <c r="M121" s="39"/>
    </row>
    <row r="122" spans="1:13" ht="16.5" x14ac:dyDescent="0.45">
      <c r="A122" s="35">
        <v>46143</v>
      </c>
      <c r="B122" s="36">
        <v>22294450</v>
      </c>
      <c r="C122" s="37">
        <v>0</v>
      </c>
      <c r="D122" s="38">
        <v>6599.87</v>
      </c>
      <c r="E122" s="37">
        <v>0</v>
      </c>
      <c r="F122" s="39"/>
      <c r="G122" s="39"/>
      <c r="H122" s="39"/>
      <c r="I122" s="39"/>
      <c r="J122" s="39"/>
      <c r="K122" s="39"/>
      <c r="L122" s="39"/>
      <c r="M122" s="39"/>
    </row>
    <row r="123" spans="1:13" ht="16.5" x14ac:dyDescent="0.45">
      <c r="A123" s="35">
        <v>46144</v>
      </c>
      <c r="B123" s="36">
        <v>22294450</v>
      </c>
      <c r="C123" s="37">
        <v>0</v>
      </c>
      <c r="D123" s="38">
        <v>6600.87</v>
      </c>
      <c r="E123" s="37">
        <v>0</v>
      </c>
      <c r="F123" s="39"/>
      <c r="G123" s="39"/>
      <c r="H123" s="39"/>
      <c r="I123" s="39"/>
      <c r="J123" s="39"/>
      <c r="K123" s="39"/>
      <c r="L123" s="39"/>
      <c r="M123" s="39"/>
    </row>
    <row r="124" spans="1:13" ht="16.5" x14ac:dyDescent="0.45">
      <c r="A124" s="35">
        <v>46145</v>
      </c>
      <c r="B124" s="36">
        <v>22294450</v>
      </c>
      <c r="C124" s="37">
        <v>0</v>
      </c>
      <c r="D124" s="38">
        <v>6601.87</v>
      </c>
      <c r="E124" s="37">
        <v>0</v>
      </c>
      <c r="F124" s="39"/>
      <c r="G124" s="39"/>
      <c r="H124" s="39"/>
      <c r="I124" s="39"/>
      <c r="J124" s="39"/>
      <c r="K124" s="39"/>
      <c r="L124" s="39"/>
      <c r="M124" s="39"/>
    </row>
    <row r="125" spans="1:13" ht="16.5" x14ac:dyDescent="0.45">
      <c r="A125" s="35">
        <v>46146</v>
      </c>
      <c r="B125" s="36">
        <v>23612270</v>
      </c>
      <c r="C125" s="37">
        <v>0</v>
      </c>
      <c r="D125" s="38">
        <v>6939.99</v>
      </c>
      <c r="E125" s="37">
        <v>895918</v>
      </c>
      <c r="F125" s="39"/>
      <c r="G125" s="39"/>
      <c r="H125" s="39"/>
      <c r="I125" s="39"/>
      <c r="J125" s="39"/>
      <c r="K125" s="39"/>
      <c r="L125" s="39"/>
      <c r="M125" s="39"/>
    </row>
    <row r="126" spans="1:13" ht="16.5" x14ac:dyDescent="0.45">
      <c r="A126" s="35">
        <v>46147</v>
      </c>
      <c r="B126" s="36">
        <v>23612270</v>
      </c>
      <c r="C126" s="37">
        <v>0</v>
      </c>
      <c r="D126" s="38">
        <v>6939.99</v>
      </c>
      <c r="E126" s="37">
        <v>0</v>
      </c>
      <c r="F126" s="39"/>
      <c r="G126" s="39"/>
      <c r="H126" s="39"/>
      <c r="I126" s="39"/>
      <c r="J126" s="39"/>
      <c r="K126" s="39"/>
      <c r="L126" s="39"/>
      <c r="M126" s="39"/>
    </row>
    <row r="127" spans="1:13" ht="16.5" x14ac:dyDescent="0.45">
      <c r="A127" s="35">
        <v>46148</v>
      </c>
      <c r="B127" s="36">
        <v>24038300</v>
      </c>
      <c r="C127" s="37">
        <v>-12255</v>
      </c>
      <c r="D127" s="38">
        <v>7384.56</v>
      </c>
      <c r="E127" s="37">
        <v>410192</v>
      </c>
      <c r="F127" s="39"/>
      <c r="G127" s="39"/>
      <c r="H127" s="39"/>
      <c r="I127" s="39"/>
      <c r="J127" s="39"/>
      <c r="K127" s="39"/>
      <c r="L127" s="39"/>
      <c r="M127" s="39"/>
    </row>
    <row r="128" spans="1:13" ht="16.5" x14ac:dyDescent="0.45">
      <c r="A128" s="35">
        <v>46149</v>
      </c>
      <c r="B128" s="36">
        <v>13025175</v>
      </c>
      <c r="C128" s="37">
        <v>-11072575</v>
      </c>
      <c r="D128" s="38">
        <v>7490.05</v>
      </c>
      <c r="E128" s="37">
        <v>193093</v>
      </c>
      <c r="F128" s="39"/>
      <c r="G128" s="39"/>
      <c r="H128" s="39"/>
      <c r="I128" s="39"/>
      <c r="J128" s="39"/>
      <c r="K128" s="39"/>
      <c r="L128" s="39"/>
      <c r="M128" s="39"/>
    </row>
    <row r="129" spans="1:13" ht="16.5" x14ac:dyDescent="0.45">
      <c r="A129" s="35">
        <v>46150</v>
      </c>
      <c r="B129" s="36">
        <v>13113525</v>
      </c>
      <c r="C129" s="37">
        <v>0</v>
      </c>
      <c r="D129" s="38">
        <v>7498</v>
      </c>
      <c r="E129" s="37">
        <v>181254</v>
      </c>
      <c r="F129" s="39"/>
      <c r="G129" s="39"/>
      <c r="H129" s="39"/>
      <c r="I129" s="39"/>
      <c r="J129" s="39"/>
      <c r="K129" s="39"/>
      <c r="L129" s="39"/>
      <c r="M129" s="39"/>
    </row>
    <row r="130" spans="1:13" ht="16.5" x14ac:dyDescent="0.45">
      <c r="A130" s="35">
        <v>46151</v>
      </c>
      <c r="B130" s="36">
        <v>13113525</v>
      </c>
      <c r="C130" s="37">
        <v>0</v>
      </c>
      <c r="D130" s="38">
        <v>7498</v>
      </c>
      <c r="E130" s="37">
        <v>0</v>
      </c>
      <c r="F130" s="39"/>
      <c r="G130" s="39"/>
      <c r="H130" s="39"/>
      <c r="I130" s="39"/>
      <c r="J130" s="39"/>
      <c r="K130" s="39"/>
      <c r="L130" s="39"/>
      <c r="M130" s="39"/>
    </row>
    <row r="131" spans="1:13" ht="16.5" x14ac:dyDescent="0.45">
      <c r="A131" s="35">
        <v>46152</v>
      </c>
      <c r="B131" s="36">
        <v>13113525</v>
      </c>
      <c r="C131" s="37">
        <v>0</v>
      </c>
      <c r="D131" s="38">
        <v>7498</v>
      </c>
      <c r="E131" s="37">
        <v>0</v>
      </c>
      <c r="F131" s="39"/>
      <c r="G131" s="39"/>
      <c r="H131" s="39"/>
      <c r="I131" s="39"/>
      <c r="J131" s="39"/>
      <c r="K131" s="39"/>
      <c r="L131" s="39"/>
      <c r="M131" s="39"/>
    </row>
    <row r="132" spans="1:13" ht="16.5" x14ac:dyDescent="0.45">
      <c r="A132" s="35">
        <v>46153</v>
      </c>
      <c r="B132" s="36">
        <v>15475920</v>
      </c>
      <c r="C132" s="37">
        <v>2330050</v>
      </c>
      <c r="D132" s="38">
        <v>7822.24</v>
      </c>
      <c r="E132" s="37">
        <v>56247</v>
      </c>
      <c r="F132" s="39"/>
      <c r="G132" s="39"/>
      <c r="H132" s="39"/>
      <c r="I132" s="39"/>
      <c r="J132" s="39"/>
      <c r="K132" s="39"/>
      <c r="L132" s="39"/>
      <c r="M132" s="39"/>
    </row>
    <row r="133" spans="1:13" ht="16.5" x14ac:dyDescent="0.45">
      <c r="A133" s="35">
        <v>46154</v>
      </c>
      <c r="B133" s="36">
        <v>40458140</v>
      </c>
      <c r="C133" s="37">
        <v>25836080</v>
      </c>
      <c r="D133" s="38">
        <v>7643.15</v>
      </c>
      <c r="E133" s="37">
        <v>0</v>
      </c>
      <c r="F133" s="39"/>
      <c r="G133" s="39"/>
      <c r="H133" s="39"/>
      <c r="I133" s="39"/>
      <c r="J133" s="39"/>
      <c r="K133" s="39"/>
      <c r="L133" s="39"/>
      <c r="M133" s="39"/>
    </row>
    <row r="134" spans="1:13" ht="16.5" x14ac:dyDescent="0.45">
      <c r="A134" s="35">
        <v>46155</v>
      </c>
      <c r="B134" s="36">
        <v>41288790</v>
      </c>
      <c r="C134" s="37">
        <v>0</v>
      </c>
      <c r="D134" s="38">
        <v>7844</v>
      </c>
      <c r="E134" s="37">
        <v>617587</v>
      </c>
      <c r="F134" s="39"/>
      <c r="G134" s="39"/>
      <c r="H134" s="39"/>
      <c r="I134" s="39"/>
      <c r="J134" s="39"/>
      <c r="K134" s="39"/>
      <c r="L134" s="39"/>
      <c r="M134" s="39"/>
    </row>
    <row r="135" spans="1:13" ht="16.5" x14ac:dyDescent="0.45">
      <c r="A135" s="35">
        <v>46156</v>
      </c>
      <c r="B135" s="36">
        <v>42360430</v>
      </c>
      <c r="C135" s="37">
        <v>0</v>
      </c>
      <c r="D135" s="38">
        <v>7981.41</v>
      </c>
      <c r="E135" s="37">
        <v>489774</v>
      </c>
      <c r="F135" s="39"/>
      <c r="G135" s="39"/>
      <c r="H135" s="39"/>
      <c r="I135" s="39"/>
      <c r="J135" s="39"/>
      <c r="K135" s="39"/>
      <c r="L135" s="39"/>
      <c r="M135" s="39"/>
    </row>
    <row r="136" spans="1:13" ht="16.5" x14ac:dyDescent="0.45">
      <c r="A136" s="35">
        <v>46157</v>
      </c>
      <c r="B136" s="36">
        <v>41643145</v>
      </c>
      <c r="C136" s="37">
        <v>968785</v>
      </c>
      <c r="D136" s="38">
        <v>7493.18</v>
      </c>
      <c r="E136" s="37">
        <v>0</v>
      </c>
      <c r="F136" s="39"/>
      <c r="G136" s="39"/>
      <c r="H136" s="39"/>
      <c r="I136" s="39"/>
      <c r="J136" s="39"/>
      <c r="K136" s="39"/>
      <c r="L136" s="39"/>
      <c r="M136" s="39"/>
    </row>
    <row r="137" spans="1:13" ht="16.5" x14ac:dyDescent="0.45">
      <c r="A137" s="35">
        <v>46158</v>
      </c>
      <c r="B137" s="36">
        <v>41643145</v>
      </c>
      <c r="C137" s="37">
        <v>0</v>
      </c>
      <c r="D137" s="38">
        <v>7493.18</v>
      </c>
      <c r="E137" s="37">
        <v>0</v>
      </c>
      <c r="F137" s="39"/>
      <c r="G137" s="39"/>
      <c r="H137" s="39"/>
      <c r="I137" s="39"/>
      <c r="J137" s="39"/>
      <c r="K137" s="39"/>
      <c r="L137" s="39"/>
      <c r="M137" s="39"/>
    </row>
    <row r="138" spans="1:13" ht="16.5" x14ac:dyDescent="0.45">
      <c r="A138" s="35">
        <v>46159</v>
      </c>
      <c r="B138" s="36">
        <v>41643145</v>
      </c>
      <c r="C138" s="37">
        <v>0</v>
      </c>
      <c r="D138" s="38">
        <v>7493.18</v>
      </c>
      <c r="E138" s="37">
        <v>0</v>
      </c>
      <c r="F138" s="39"/>
      <c r="G138" s="39"/>
      <c r="H138" s="39"/>
      <c r="I138" s="39"/>
      <c r="J138" s="39"/>
      <c r="K138" s="39"/>
      <c r="L138" s="39"/>
      <c r="M138" s="39"/>
    </row>
    <row r="139" spans="1:13" ht="16.5" x14ac:dyDescent="0.45">
      <c r="A139" s="35">
        <v>46160</v>
      </c>
      <c r="B139" s="36">
        <v>54442990</v>
      </c>
      <c r="C139" s="37">
        <v>13957305</v>
      </c>
      <c r="D139" s="38">
        <v>7516.04</v>
      </c>
      <c r="E139" s="37">
        <v>122049</v>
      </c>
      <c r="F139" s="39"/>
      <c r="G139" s="39"/>
      <c r="H139" s="39"/>
      <c r="I139" s="39"/>
      <c r="J139" s="39"/>
      <c r="K139" s="39"/>
      <c r="L139" s="39"/>
      <c r="M139" s="39"/>
    </row>
    <row r="140" spans="1:13" ht="16.5" x14ac:dyDescent="0.45">
      <c r="A140" s="35">
        <v>46161</v>
      </c>
      <c r="B140" s="36">
        <v>71026650</v>
      </c>
      <c r="C140" s="37">
        <v>18397870</v>
      </c>
      <c r="D140" s="38">
        <v>7271.66</v>
      </c>
      <c r="E140" s="37">
        <v>0</v>
      </c>
      <c r="F140" s="39"/>
      <c r="G140" s="39"/>
      <c r="H140" s="39"/>
      <c r="I140" s="39"/>
      <c r="J140" s="39"/>
      <c r="K140" s="39"/>
      <c r="L140" s="39"/>
      <c r="M140" s="39"/>
    </row>
    <row r="141" spans="1:13" ht="16.5" x14ac:dyDescent="0.45">
      <c r="A141" s="35">
        <v>46162</v>
      </c>
      <c r="B141" s="36">
        <v>97245050</v>
      </c>
      <c r="C141" s="37">
        <v>29871200</v>
      </c>
      <c r="D141" s="38">
        <v>7208.95</v>
      </c>
      <c r="E141" s="37">
        <v>0</v>
      </c>
      <c r="F141" s="39"/>
      <c r="G141" s="39"/>
      <c r="H141" s="39"/>
      <c r="I141" s="39"/>
      <c r="J141" s="39"/>
      <c r="K141" s="39"/>
      <c r="L141" s="39"/>
      <c r="M141" s="39"/>
    </row>
    <row r="142" spans="1:13" ht="16.5" x14ac:dyDescent="0.45">
      <c r="A142" s="35">
        <v>46163</v>
      </c>
      <c r="B142" s="36">
        <v>109694390</v>
      </c>
      <c r="C142" s="37">
        <v>0</v>
      </c>
      <c r="D142" s="38">
        <v>7209.95</v>
      </c>
      <c r="E142" s="37">
        <v>4517372</v>
      </c>
      <c r="F142" s="39"/>
      <c r="G142" s="39"/>
      <c r="H142" s="39"/>
      <c r="I142" s="39"/>
      <c r="J142" s="39"/>
      <c r="K142" s="39"/>
      <c r="L142" s="39"/>
      <c r="M142" s="39"/>
    </row>
    <row r="143" spans="1:13" ht="16.5" x14ac:dyDescent="0.45">
      <c r="A143" s="35">
        <v>46164</v>
      </c>
      <c r="B143" s="36">
        <v>116263635</v>
      </c>
      <c r="C143" s="37">
        <v>0</v>
      </c>
      <c r="D143" s="38">
        <v>7847.71</v>
      </c>
      <c r="E143" s="37">
        <v>4667317</v>
      </c>
      <c r="F143" s="39"/>
      <c r="G143" s="39"/>
      <c r="H143" s="39"/>
      <c r="I143" s="39"/>
      <c r="J143" s="39"/>
      <c r="K143" s="39"/>
      <c r="L143" s="39"/>
      <c r="M143" s="39"/>
    </row>
    <row r="144" spans="1:13" ht="16.5" x14ac:dyDescent="0.45">
      <c r="A144" s="35">
        <v>46168</v>
      </c>
      <c r="B144" s="36">
        <v>70830480</v>
      </c>
      <c r="C144" s="37">
        <v>-46217270</v>
      </c>
      <c r="D144" s="38">
        <v>8047.51</v>
      </c>
      <c r="E144" s="37">
        <v>1552818</v>
      </c>
      <c r="F144" s="39"/>
      <c r="G144" s="39"/>
      <c r="H144" s="39"/>
      <c r="I144" s="39"/>
      <c r="J144" s="39"/>
      <c r="K144" s="39"/>
      <c r="L144" s="39"/>
      <c r="M144" s="39"/>
    </row>
    <row r="145" spans="1:13" ht="16.5" x14ac:dyDescent="0.45">
      <c r="A145" s="35">
        <v>46169</v>
      </c>
      <c r="B145" s="36">
        <v>36364725</v>
      </c>
      <c r="C145" s="37">
        <v>-33724405</v>
      </c>
      <c r="D145" s="38">
        <v>8228.7000000000007</v>
      </c>
      <c r="E145" s="37">
        <v>161746</v>
      </c>
      <c r="F145" s="39"/>
      <c r="G145" s="39"/>
      <c r="H145" s="39"/>
      <c r="I145" s="39"/>
      <c r="J145" s="39"/>
      <c r="K145" s="39"/>
      <c r="L145" s="39"/>
      <c r="M145" s="39"/>
    </row>
    <row r="146" spans="1:13" ht="16.5" x14ac:dyDescent="0.45">
      <c r="A146" s="35">
        <v>46170</v>
      </c>
      <c r="B146" s="36">
        <v>57587540</v>
      </c>
      <c r="C146" s="37">
        <v>22295060</v>
      </c>
      <c r="D146" s="38">
        <v>8185.3</v>
      </c>
      <c r="E146" s="37">
        <v>0</v>
      </c>
      <c r="F146" s="39"/>
      <c r="G146" s="39"/>
      <c r="H146" s="39"/>
      <c r="I146" s="39"/>
      <c r="J146" s="39"/>
      <c r="K146" s="39"/>
      <c r="L146" s="39"/>
      <c r="M146" s="39"/>
    </row>
    <row r="147" spans="1:13" ht="16.5" x14ac:dyDescent="0.45">
      <c r="A147" s="35">
        <v>46171</v>
      </c>
      <c r="B147" s="36">
        <v>72870780</v>
      </c>
      <c r="C147" s="37">
        <v>16098280</v>
      </c>
      <c r="D147" s="38">
        <v>8476.15</v>
      </c>
      <c r="E147" s="37">
        <v>837960</v>
      </c>
      <c r="F147" s="39"/>
      <c r="G147" s="39"/>
      <c r="H147" s="39"/>
      <c r="I147" s="39"/>
      <c r="J147" s="39"/>
      <c r="K147" s="39"/>
      <c r="L147" s="39"/>
      <c r="M147" s="39"/>
    </row>
    <row r="148" spans="1:13" ht="16.5" x14ac:dyDescent="0.45">
      <c r="A148" s="35">
        <v>46174</v>
      </c>
      <c r="B148" s="36">
        <v>89527080</v>
      </c>
      <c r="C148" s="37">
        <v>17942880</v>
      </c>
      <c r="D148" s="38">
        <v>8788.3799999999992</v>
      </c>
      <c r="E148" s="37">
        <v>370630</v>
      </c>
      <c r="F148" s="39"/>
      <c r="G148" s="39"/>
      <c r="H148" s="39"/>
      <c r="I148" s="39"/>
      <c r="J148" s="39"/>
      <c r="K148" s="39"/>
      <c r="L148" s="39"/>
      <c r="M148" s="39"/>
    </row>
    <row r="149" spans="1:13" ht="16.5" x14ac:dyDescent="0.45">
      <c r="A149" s="35">
        <v>46175</v>
      </c>
      <c r="B149" s="36">
        <v>103518400</v>
      </c>
      <c r="C149" s="37">
        <v>17900600</v>
      </c>
      <c r="D149" s="38">
        <v>8801.49</v>
      </c>
      <c r="E149" s="37">
        <v>0</v>
      </c>
      <c r="F149" s="39"/>
      <c r="G149" s="39"/>
      <c r="H149" s="39"/>
      <c r="I149" s="39"/>
      <c r="J149" s="39"/>
      <c r="K149" s="39"/>
      <c r="L149" s="39"/>
      <c r="M149" s="39"/>
    </row>
    <row r="150" spans="1:13" ht="16.5" x14ac:dyDescent="0.45">
      <c r="A150" s="35">
        <v>46177</v>
      </c>
      <c r="B150" s="36">
        <v>123264900</v>
      </c>
      <c r="C150" s="37">
        <v>14184658</v>
      </c>
      <c r="D150" s="38">
        <v>8639.41</v>
      </c>
      <c r="E150" s="37">
        <v>981658</v>
      </c>
      <c r="F150" s="39"/>
      <c r="G150" s="39"/>
      <c r="H150" s="39"/>
      <c r="I150" s="39"/>
      <c r="J150" s="39"/>
      <c r="K150" s="39"/>
      <c r="L150" s="39"/>
      <c r="M150" s="39"/>
    </row>
    <row r="151" spans="1:13" ht="16.5" x14ac:dyDescent="0.45">
      <c r="A151" s="35">
        <v>46178</v>
      </c>
      <c r="B151" s="36">
        <v>125662500</v>
      </c>
      <c r="C151" s="37">
        <v>14049240</v>
      </c>
      <c r="D151" s="38">
        <v>8160.59</v>
      </c>
      <c r="E151" s="37">
        <v>0</v>
      </c>
      <c r="F151" s="39"/>
      <c r="G151" s="39"/>
      <c r="H151" s="39"/>
      <c r="I151" s="39"/>
      <c r="J151" s="39"/>
      <c r="K151" s="39"/>
      <c r="L151" s="39"/>
      <c r="M151" s="39"/>
    </row>
    <row r="152" spans="1:13" ht="16.5" x14ac:dyDescent="0.45">
      <c r="A152" s="35">
        <v>46181</v>
      </c>
      <c r="B152" s="36">
        <v>117664860</v>
      </c>
      <c r="C152" s="37">
        <v>15555680</v>
      </c>
      <c r="D152" s="38">
        <v>7484.41</v>
      </c>
      <c r="E152" s="37">
        <v>-1798870</v>
      </c>
      <c r="F152" s="39"/>
      <c r="G152" s="39"/>
      <c r="H152" s="39"/>
      <c r="I152" s="39"/>
      <c r="J152" s="39"/>
      <c r="K152" s="39"/>
      <c r="L152" s="39"/>
      <c r="M152" s="39"/>
    </row>
    <row r="153" spans="1:13" ht="16.5" x14ac:dyDescent="0.45">
      <c r="A153" s="35">
        <v>46182</v>
      </c>
      <c r="B153" s="36">
        <v>132674825</v>
      </c>
      <c r="C153" s="37">
        <v>-294370</v>
      </c>
      <c r="D153" s="38">
        <v>8096.92</v>
      </c>
      <c r="E153" s="37">
        <v>2043292</v>
      </c>
      <c r="F153" s="40">
        <v>12949860</v>
      </c>
      <c r="G153" s="40">
        <v>13594870</v>
      </c>
      <c r="H153" s="40">
        <v>20767620</v>
      </c>
      <c r="I153" s="40">
        <v>27353485</v>
      </c>
      <c r="J153" s="40">
        <v>21735745</v>
      </c>
      <c r="K153" s="40">
        <v>13521425</v>
      </c>
      <c r="L153" s="40">
        <v>15501550</v>
      </c>
      <c r="M153" s="40">
        <v>7250270</v>
      </c>
    </row>
    <row r="154" spans="1:13" ht="16.5" x14ac:dyDescent="0.45">
      <c r="A154" s="35">
        <v>46183</v>
      </c>
      <c r="B154" s="36">
        <v>137942555</v>
      </c>
      <c r="C154" s="37">
        <v>10719350</v>
      </c>
      <c r="D154" s="38">
        <v>7730.82</v>
      </c>
      <c r="E154" s="37">
        <v>0</v>
      </c>
      <c r="F154" s="40">
        <v>12127600</v>
      </c>
      <c r="G154" s="40">
        <v>12434900</v>
      </c>
      <c r="H154" s="40">
        <v>19299400</v>
      </c>
      <c r="I154" s="40">
        <v>26302990</v>
      </c>
      <c r="J154" s="40">
        <v>21467115</v>
      </c>
      <c r="K154" s="40">
        <v>13204750</v>
      </c>
      <c r="L154" s="40">
        <v>24122150</v>
      </c>
      <c r="M154" s="40">
        <v>8983650</v>
      </c>
    </row>
    <row r="155" spans="1:13" ht="16.5" x14ac:dyDescent="0.45">
      <c r="A155" s="35">
        <v>46184</v>
      </c>
      <c r="B155" s="36">
        <v>163915240</v>
      </c>
      <c r="C155" s="37">
        <v>14395055</v>
      </c>
      <c r="D155" s="38">
        <v>7763.95</v>
      </c>
      <c r="E155" s="37">
        <v>1438756</v>
      </c>
      <c r="F155" s="40">
        <v>12931670</v>
      </c>
      <c r="G155" s="40">
        <v>12744060</v>
      </c>
      <c r="H155" s="40">
        <v>20319260</v>
      </c>
      <c r="I155" s="40">
        <v>27594910</v>
      </c>
      <c r="J155" s="40">
        <v>29644530</v>
      </c>
      <c r="K155" s="40">
        <v>23024190</v>
      </c>
      <c r="L155" s="40">
        <v>27438530</v>
      </c>
      <c r="M155" s="40">
        <v>10218090</v>
      </c>
    </row>
    <row r="156" spans="1:13" ht="16.5" x14ac:dyDescent="0.45">
      <c r="A156" s="35">
        <v>46185</v>
      </c>
      <c r="B156" s="36">
        <v>172703100</v>
      </c>
      <c r="C156" s="37">
        <v>0</v>
      </c>
      <c r="D156" s="38">
        <v>8123.62</v>
      </c>
      <c r="E156" s="37">
        <v>2767377</v>
      </c>
      <c r="F156" s="40">
        <v>13741690</v>
      </c>
      <c r="G156" s="40">
        <v>13776200</v>
      </c>
      <c r="H156" s="40">
        <v>21709900</v>
      </c>
      <c r="I156" s="40">
        <v>29451950</v>
      </c>
      <c r="J156" s="40">
        <v>31611390</v>
      </c>
      <c r="K156" s="40">
        <v>24287630</v>
      </c>
      <c r="L156" s="40">
        <v>27906250</v>
      </c>
      <c r="M156" s="40">
        <v>10218090</v>
      </c>
    </row>
    <row r="157" spans="1:13" ht="16.5" x14ac:dyDescent="0.45">
      <c r="A157" s="35">
        <v>46188</v>
      </c>
      <c r="B157" s="36">
        <v>156136900</v>
      </c>
      <c r="C157" s="37">
        <v>-23930180</v>
      </c>
      <c r="D157" s="38">
        <v>8545.98</v>
      </c>
      <c r="E157" s="37">
        <v>2508340</v>
      </c>
      <c r="F157" s="40">
        <v>14732070</v>
      </c>
      <c r="G157" s="40">
        <v>15107360</v>
      </c>
      <c r="H157" s="40">
        <v>23445060</v>
      </c>
      <c r="I157" s="40">
        <v>30811210</v>
      </c>
      <c r="J157" s="40">
        <v>33057510</v>
      </c>
      <c r="K157" s="40">
        <v>24789530</v>
      </c>
      <c r="L157" s="40">
        <v>14194160</v>
      </c>
      <c r="M157" s="40">
        <v>0</v>
      </c>
    </row>
    <row r="158" spans="1:13" ht="16.5" x14ac:dyDescent="0.45">
      <c r="A158" s="35">
        <v>46189</v>
      </c>
      <c r="B158" s="36">
        <v>132121045</v>
      </c>
      <c r="C158" s="37">
        <v>-22075380</v>
      </c>
      <c r="D158" s="38">
        <v>8726.6</v>
      </c>
      <c r="E158" s="37">
        <v>1307810</v>
      </c>
      <c r="F158" s="40">
        <v>14639640</v>
      </c>
      <c r="G158" s="40">
        <v>15451570</v>
      </c>
      <c r="H158" s="40">
        <v>23518260</v>
      </c>
      <c r="I158" s="40">
        <v>21881565</v>
      </c>
      <c r="J158" s="40">
        <v>23485705</v>
      </c>
      <c r="K158" s="40">
        <v>24139490</v>
      </c>
      <c r="L158" s="40">
        <v>9004815</v>
      </c>
      <c r="M158" s="40">
        <v>0</v>
      </c>
    </row>
    <row r="159" spans="1:13" ht="16.5" x14ac:dyDescent="0.45">
      <c r="A159" s="35">
        <v>46190</v>
      </c>
      <c r="B159" s="36">
        <v>122387060</v>
      </c>
      <c r="C159" s="37">
        <v>-14413270</v>
      </c>
      <c r="D159" s="38">
        <v>8864.24</v>
      </c>
      <c r="E159" s="37">
        <v>1031930</v>
      </c>
      <c r="F159" s="40">
        <v>15251125</v>
      </c>
      <c r="G159" s="40">
        <v>16053780</v>
      </c>
      <c r="H159" s="40">
        <v>24202255</v>
      </c>
      <c r="I159" s="40">
        <v>17792600</v>
      </c>
      <c r="J159" s="40">
        <v>14387100</v>
      </c>
      <c r="K159" s="40">
        <v>25273560</v>
      </c>
      <c r="L159" s="40">
        <v>9426640</v>
      </c>
      <c r="M159" s="40">
        <v>0</v>
      </c>
    </row>
    <row r="160" spans="1:13" ht="16.5" x14ac:dyDescent="0.45">
      <c r="A160" s="35">
        <v>46191</v>
      </c>
      <c r="B160" s="36">
        <v>116049660</v>
      </c>
      <c r="C160" s="37">
        <v>-3340090</v>
      </c>
      <c r="D160" s="38">
        <v>9063.84</v>
      </c>
      <c r="E160" s="37">
        <v>1298538</v>
      </c>
      <c r="F160" s="40">
        <v>15375325</v>
      </c>
      <c r="G160" s="40">
        <v>16797410</v>
      </c>
      <c r="H160" s="40">
        <v>16229325</v>
      </c>
      <c r="I160" s="40">
        <v>12119250</v>
      </c>
      <c r="J160" s="40">
        <v>13486550</v>
      </c>
      <c r="K160" s="40">
        <v>32616320</v>
      </c>
      <c r="L160" s="40">
        <v>9425480</v>
      </c>
      <c r="M160" s="40">
        <v>0</v>
      </c>
    </row>
    <row r="161" spans="1:13" ht="16.5" x14ac:dyDescent="0.45">
      <c r="A161" s="35">
        <v>46192</v>
      </c>
      <c r="B161" s="36">
        <v>119889400</v>
      </c>
      <c r="C161" s="37">
        <v>9826805</v>
      </c>
      <c r="D161" s="38">
        <v>9052.42</v>
      </c>
      <c r="E161" s="37">
        <v>193084</v>
      </c>
      <c r="F161" s="40">
        <v>14910100</v>
      </c>
      <c r="G161" s="40">
        <v>16606660</v>
      </c>
      <c r="H161" s="40">
        <v>7949840</v>
      </c>
      <c r="I161" s="40">
        <v>11266125</v>
      </c>
      <c r="J161" s="40">
        <v>12537175</v>
      </c>
      <c r="K161" s="40">
        <v>30320320</v>
      </c>
      <c r="L161" s="40">
        <v>17297835</v>
      </c>
      <c r="M161" s="40">
        <v>9001345</v>
      </c>
    </row>
    <row r="162" spans="1:13" ht="16.5" x14ac:dyDescent="0.45">
      <c r="A162" s="35">
        <v>46195</v>
      </c>
      <c r="B162" s="36">
        <v>106065700</v>
      </c>
      <c r="C162" s="37">
        <v>-18313980</v>
      </c>
      <c r="D162" s="38">
        <v>9114.5499999999993</v>
      </c>
      <c r="E162" s="37">
        <v>617290</v>
      </c>
      <c r="F162" s="40">
        <v>11007480</v>
      </c>
      <c r="G162" s="40">
        <v>2634530</v>
      </c>
      <c r="H162" s="40">
        <v>8314480</v>
      </c>
      <c r="I162" s="40">
        <v>11782875</v>
      </c>
      <c r="J162" s="40">
        <v>13112225</v>
      </c>
      <c r="K162" s="40">
        <v>31711040</v>
      </c>
      <c r="L162" s="40">
        <v>18090075</v>
      </c>
      <c r="M162" s="40">
        <v>9412995</v>
      </c>
    </row>
    <row r="163" spans="1:13" ht="16.5" x14ac:dyDescent="0.45">
      <c r="A163" s="35">
        <v>46196</v>
      </c>
      <c r="B163" s="36">
        <v>101085650</v>
      </c>
      <c r="C163" s="37">
        <v>8408150</v>
      </c>
      <c r="D163" s="38">
        <v>8203.84</v>
      </c>
      <c r="E163" s="37">
        <v>0</v>
      </c>
      <c r="F163" s="40">
        <v>12277790</v>
      </c>
      <c r="G163" s="40">
        <v>8076840</v>
      </c>
      <c r="H163" s="40">
        <v>7000400</v>
      </c>
      <c r="I163" s="40">
        <v>9920625</v>
      </c>
      <c r="J163" s="40">
        <v>11039875</v>
      </c>
      <c r="K163" s="40">
        <v>26699200</v>
      </c>
      <c r="L163" s="40">
        <v>16658705</v>
      </c>
      <c r="M163" s="40">
        <v>9412215</v>
      </c>
    </row>
    <row r="164" spans="1:13" ht="16.5" x14ac:dyDescent="0.45">
      <c r="A164" s="35">
        <v>46197</v>
      </c>
      <c r="B164" s="36">
        <v>98741000</v>
      </c>
      <c r="C164" s="37">
        <v>-6422995</v>
      </c>
      <c r="D164" s="38">
        <v>8507.81</v>
      </c>
      <c r="E164" s="37">
        <v>823904</v>
      </c>
      <c r="F164" s="40">
        <v>12971870</v>
      </c>
      <c r="G164" s="40">
        <v>8577230</v>
      </c>
      <c r="H164" s="40">
        <v>7272160</v>
      </c>
      <c r="I164" s="40">
        <v>10305750</v>
      </c>
      <c r="J164" s="40">
        <v>11468450</v>
      </c>
      <c r="K164" s="40">
        <v>27735680</v>
      </c>
      <c r="L164" s="40">
        <v>14163800</v>
      </c>
      <c r="M164" s="40">
        <v>6246060</v>
      </c>
    </row>
    <row r="165" spans="1:13" ht="16.5" x14ac:dyDescent="0.45">
      <c r="A165" s="35">
        <v>46198</v>
      </c>
      <c r="B165" s="36">
        <v>101114800</v>
      </c>
      <c r="C165" s="37">
        <v>5958590</v>
      </c>
      <c r="D165" s="38">
        <v>8930.2999999999993</v>
      </c>
      <c r="E165" s="37">
        <v>314105</v>
      </c>
      <c r="F165" s="40">
        <v>13130820</v>
      </c>
      <c r="G165" s="40">
        <v>8459510</v>
      </c>
      <c r="H165" s="40">
        <v>6900640</v>
      </c>
      <c r="I165" s="40">
        <v>9779250</v>
      </c>
      <c r="J165" s="40">
        <v>10882550</v>
      </c>
      <c r="K165" s="40">
        <v>26318720</v>
      </c>
      <c r="L165" s="40">
        <v>19398020</v>
      </c>
      <c r="M165" s="40">
        <v>6245290</v>
      </c>
    </row>
    <row r="166" spans="1:13" ht="16.5" x14ac:dyDescent="0.45">
      <c r="A166" s="35">
        <v>46199</v>
      </c>
      <c r="B166" s="36">
        <v>99721380</v>
      </c>
      <c r="C166" s="37">
        <v>5780075</v>
      </c>
      <c r="D166" s="38">
        <v>8411.2099999999991</v>
      </c>
      <c r="E166" s="37">
        <v>0</v>
      </c>
      <c r="F166" s="40">
        <v>12765350</v>
      </c>
      <c r="G166" s="40">
        <v>8011840</v>
      </c>
      <c r="H166" s="40">
        <v>6350240</v>
      </c>
      <c r="I166" s="40">
        <v>8999250</v>
      </c>
      <c r="J166" s="40">
        <v>10014550</v>
      </c>
      <c r="K166" s="40">
        <v>24219520</v>
      </c>
      <c r="L166" s="40">
        <v>17850820</v>
      </c>
      <c r="M166" s="40">
        <v>11509810</v>
      </c>
    </row>
    <row r="167" spans="1:13" ht="16.5" x14ac:dyDescent="0.45">
      <c r="A167" s="35">
        <v>46202</v>
      </c>
      <c r="B167" s="36">
        <v>129270440</v>
      </c>
      <c r="C167" s="37">
        <v>13910800</v>
      </c>
      <c r="D167" s="38">
        <v>8394.65</v>
      </c>
      <c r="E167" s="37">
        <v>1715684</v>
      </c>
      <c r="F167" s="40">
        <v>13624260</v>
      </c>
      <c r="G167" s="40">
        <v>15296060</v>
      </c>
      <c r="H167" s="40">
        <v>14467460</v>
      </c>
      <c r="I167" s="40">
        <v>10647000</v>
      </c>
      <c r="J167" s="40">
        <v>11848200</v>
      </c>
      <c r="K167" s="40">
        <v>28654080</v>
      </c>
      <c r="L167" s="40">
        <v>21117910</v>
      </c>
      <c r="M167" s="40">
        <v>13615470</v>
      </c>
    </row>
    <row r="168" spans="1:13" ht="16.5" x14ac:dyDescent="0.45">
      <c r="A168" s="35">
        <v>46203</v>
      </c>
      <c r="B168" s="36">
        <v>128466290</v>
      </c>
      <c r="C168" s="37">
        <v>0</v>
      </c>
      <c r="D168" s="38">
        <v>8476.48</v>
      </c>
      <c r="E168" s="37">
        <v>302123</v>
      </c>
      <c r="F168" s="40">
        <v>13667955</v>
      </c>
      <c r="G168" s="40">
        <v>15494415</v>
      </c>
      <c r="H168" s="40">
        <v>14468235</v>
      </c>
      <c r="I168" s="40">
        <v>10466625</v>
      </c>
      <c r="J168" s="40">
        <v>11647475</v>
      </c>
      <c r="K168" s="40">
        <v>28168640</v>
      </c>
      <c r="L168" s="40">
        <v>20938245</v>
      </c>
      <c r="M168" s="40">
        <v>13614700</v>
      </c>
    </row>
    <row r="169" spans="1:13" ht="16.5" x14ac:dyDescent="0.45">
      <c r="A169" s="35">
        <v>46204</v>
      </c>
      <c r="B169" s="36">
        <v>116943335</v>
      </c>
      <c r="C169" s="37">
        <v>-11844090</v>
      </c>
      <c r="D169" s="38">
        <v>8303.41</v>
      </c>
      <c r="E169" s="37">
        <v>103105</v>
      </c>
      <c r="F169" s="40">
        <v>13496225</v>
      </c>
      <c r="G169" s="40">
        <v>15523945</v>
      </c>
      <c r="H169" s="40">
        <v>14546465</v>
      </c>
      <c r="I169" s="40">
        <v>10578750</v>
      </c>
      <c r="J169" s="40">
        <v>11772250</v>
      </c>
      <c r="K169" s="40">
        <v>28470400</v>
      </c>
      <c r="L169" s="40">
        <v>16523480</v>
      </c>
      <c r="M169" s="40">
        <v>6031820</v>
      </c>
    </row>
    <row r="170" spans="1:13" ht="16.5" x14ac:dyDescent="0.45">
      <c r="A170" s="35">
        <v>46205</v>
      </c>
      <c r="B170" s="36">
        <v>112310425</v>
      </c>
      <c r="C170" s="37">
        <v>9720880</v>
      </c>
      <c r="D170" s="38">
        <v>7648.09</v>
      </c>
      <c r="E170" s="37">
        <v>0</v>
      </c>
      <c r="F170" s="40">
        <v>8218860</v>
      </c>
      <c r="G170" s="40">
        <v>13087975</v>
      </c>
      <c r="H170" s="40">
        <v>19070725</v>
      </c>
      <c r="I170" s="40">
        <v>15977105</v>
      </c>
      <c r="J170" s="40">
        <v>10112200</v>
      </c>
      <c r="K170" s="40">
        <v>24455680</v>
      </c>
      <c r="L170" s="40">
        <v>15356840</v>
      </c>
      <c r="M170" s="40">
        <v>6031040</v>
      </c>
    </row>
    <row r="171" spans="1:13" ht="16.5" x14ac:dyDescent="0.45">
      <c r="A171" s="35">
        <v>46206</v>
      </c>
      <c r="B171" s="36">
        <v>111850960</v>
      </c>
      <c r="C171" s="37">
        <v>-2263240</v>
      </c>
      <c r="D171" s="38">
        <v>8088.34</v>
      </c>
      <c r="E171" s="37">
        <v>1014864</v>
      </c>
      <c r="F171" s="40">
        <v>8454100</v>
      </c>
      <c r="G171" s="40">
        <v>14341840</v>
      </c>
      <c r="H171" s="40">
        <v>20387040</v>
      </c>
      <c r="I171" s="40">
        <v>16530930</v>
      </c>
      <c r="J171" s="40">
        <v>9819250</v>
      </c>
      <c r="K171" s="40">
        <v>23747200</v>
      </c>
      <c r="L171" s="40">
        <v>12733350</v>
      </c>
      <c r="M171" s="40">
        <v>5837250</v>
      </c>
    </row>
    <row r="172" spans="1:13" ht="16.5" x14ac:dyDescent="0.45">
      <c r="A172" s="35">
        <v>46209</v>
      </c>
      <c r="B172" s="36">
        <v>112743225</v>
      </c>
      <c r="C172" s="37">
        <v>6019395</v>
      </c>
      <c r="D172" s="38">
        <v>8051.33</v>
      </c>
      <c r="E172" s="37">
        <v>0</v>
      </c>
      <c r="F172" s="40">
        <v>8086770</v>
      </c>
      <c r="G172" s="40">
        <v>14032840</v>
      </c>
      <c r="H172" s="40">
        <v>19878470</v>
      </c>
      <c r="I172" s="40">
        <v>15959665</v>
      </c>
      <c r="J172" s="40">
        <v>9184525</v>
      </c>
      <c r="K172" s="40">
        <v>22212160</v>
      </c>
      <c r="L172" s="40">
        <v>11910255</v>
      </c>
      <c r="M172" s="40">
        <v>11478540</v>
      </c>
    </row>
    <row r="173" spans="1:13" ht="16.5" x14ac:dyDescent="0.45">
      <c r="A173" s="35">
        <v>46210</v>
      </c>
      <c r="B173" s="36">
        <v>127921715</v>
      </c>
      <c r="C173" s="37">
        <v>20986315</v>
      </c>
      <c r="D173" s="38">
        <v>7656.31</v>
      </c>
      <c r="E173" s="37">
        <v>0</v>
      </c>
      <c r="F173" s="40">
        <v>7602950</v>
      </c>
      <c r="G173" s="40">
        <v>12756805</v>
      </c>
      <c r="H173" s="40">
        <v>18211505</v>
      </c>
      <c r="I173" s="40">
        <v>22161030</v>
      </c>
      <c r="J173" s="40">
        <v>16868875</v>
      </c>
      <c r="K173" s="40">
        <v>21582400</v>
      </c>
      <c r="L173" s="40">
        <v>11572575</v>
      </c>
      <c r="M173" s="40">
        <v>17165575</v>
      </c>
    </row>
    <row r="174" spans="1:13" ht="16.5" x14ac:dyDescent="0.45">
      <c r="A174" s="35">
        <v>46211</v>
      </c>
      <c r="B174" s="36">
        <v>128983950</v>
      </c>
      <c r="C174" s="37">
        <v>15962060</v>
      </c>
      <c r="D174" s="38">
        <v>7246.79</v>
      </c>
      <c r="E174" s="37">
        <v>-3020380</v>
      </c>
      <c r="F174" s="40">
        <v>6723600</v>
      </c>
      <c r="G174" s="40">
        <v>11402100</v>
      </c>
      <c r="H174" s="40">
        <v>16211100</v>
      </c>
      <c r="I174" s="40">
        <v>19702500</v>
      </c>
      <c r="J174" s="40">
        <v>22917000</v>
      </c>
      <c r="K174" s="40">
        <v>26872800</v>
      </c>
      <c r="L174" s="40">
        <v>10130400</v>
      </c>
      <c r="M174" s="40">
        <v>15024450</v>
      </c>
    </row>
    <row r="175" spans="1:13" ht="16.5" x14ac:dyDescent="0.45">
      <c r="A175" s="35">
        <v>46212</v>
      </c>
      <c r="B175" s="36">
        <v>130879955</v>
      </c>
      <c r="C175" s="37"/>
      <c r="D175" s="38">
        <v>7283.11</v>
      </c>
      <c r="E175" s="37">
        <v>105440</v>
      </c>
      <c r="F175" s="40">
        <v>6840010</v>
      </c>
      <c r="G175" s="40">
        <v>11566190</v>
      </c>
      <c r="H175" s="40">
        <v>16462540</v>
      </c>
      <c r="I175" s="40">
        <v>20014755</v>
      </c>
      <c r="J175" s="40">
        <v>23277845</v>
      </c>
      <c r="K175" s="40">
        <v>27359750</v>
      </c>
      <c r="L175" s="40">
        <v>10334415</v>
      </c>
      <c r="M175" s="40">
        <v>15024450</v>
      </c>
    </row>
  </sheetData>
  <mergeCells count="2">
    <mergeCell ref="A2:M2"/>
    <mergeCell ref="A1:M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1"/>
  <sheetViews>
    <sheetView showGridLines="0" zoomScaleNormal="100" workbookViewId="0">
      <selection activeCell="E35" sqref="E35"/>
    </sheetView>
  </sheetViews>
  <sheetFormatPr defaultRowHeight="16" x14ac:dyDescent="0.45"/>
  <cols>
    <col min="1" max="1" width="18.453125" style="31" customWidth="1"/>
    <col min="2" max="4" width="12.7265625" style="31" customWidth="1"/>
    <col min="5" max="5" width="15.26953125" style="31" customWidth="1"/>
    <col min="6" max="17" width="12.7265625" style="31" customWidth="1"/>
    <col min="18" max="18" width="1.1796875" style="31" customWidth="1"/>
  </cols>
  <sheetData>
    <row r="1" spans="1:21" x14ac:dyDescent="0.45">
      <c r="A1" s="44" t="s">
        <v>17</v>
      </c>
      <c r="B1" s="44" t="s">
        <v>16</v>
      </c>
      <c r="C1" s="44" t="s">
        <v>18</v>
      </c>
      <c r="D1" s="44" t="s">
        <v>19</v>
      </c>
      <c r="E1" s="48" t="s">
        <v>20</v>
      </c>
      <c r="F1" s="52" t="s">
        <v>21</v>
      </c>
      <c r="G1" s="53"/>
      <c r="H1" s="53"/>
      <c r="I1" s="53"/>
      <c r="J1" s="53"/>
      <c r="K1" s="53"/>
      <c r="L1" s="47">
        <v>0.7</v>
      </c>
      <c r="M1" s="44" t="s">
        <v>22</v>
      </c>
      <c r="N1" s="50"/>
      <c r="O1" s="49"/>
      <c r="P1" s="47">
        <v>0.25</v>
      </c>
      <c r="Q1" s="49"/>
      <c r="R1" s="1"/>
      <c r="S1" s="2" t="s">
        <v>17</v>
      </c>
      <c r="T1" s="44" t="s">
        <v>23</v>
      </c>
      <c r="U1" s="49"/>
    </row>
    <row r="2" spans="1:21" x14ac:dyDescent="0.45">
      <c r="A2" s="45"/>
      <c r="B2" s="45"/>
      <c r="C2" s="45"/>
      <c r="D2" s="45"/>
      <c r="E2" s="45"/>
      <c r="F2" s="54"/>
      <c r="G2" s="42"/>
      <c r="H2" s="42"/>
      <c r="I2" s="42"/>
      <c r="J2" s="42"/>
      <c r="K2" s="42"/>
      <c r="L2" s="46"/>
      <c r="M2" s="3"/>
      <c r="N2" s="47" t="s">
        <v>15</v>
      </c>
      <c r="O2" s="49"/>
      <c r="P2" s="44" t="s">
        <v>24</v>
      </c>
      <c r="Q2" s="49"/>
      <c r="R2" s="1"/>
      <c r="S2" s="4" t="s">
        <v>25</v>
      </c>
      <c r="T2" s="6">
        <v>0.8</v>
      </c>
      <c r="U2" s="7">
        <v>0.15</v>
      </c>
    </row>
    <row r="3" spans="1:21" x14ac:dyDescent="0.45">
      <c r="A3" s="45"/>
      <c r="B3" s="45"/>
      <c r="C3" s="45"/>
      <c r="D3" s="45"/>
      <c r="E3" s="45"/>
      <c r="F3" s="54"/>
      <c r="G3" s="42"/>
      <c r="H3" s="42"/>
      <c r="I3" s="42"/>
      <c r="J3" s="42"/>
      <c r="K3" s="42"/>
      <c r="L3" s="51">
        <v>17485</v>
      </c>
      <c r="M3" s="2" t="s">
        <v>26</v>
      </c>
      <c r="N3" s="51">
        <v>14760</v>
      </c>
      <c r="O3" s="49"/>
      <c r="P3" s="51">
        <v>8125</v>
      </c>
      <c r="Q3" s="49"/>
      <c r="R3" s="1"/>
      <c r="S3" s="4" t="s">
        <v>27</v>
      </c>
      <c r="T3" s="6">
        <v>0.75</v>
      </c>
      <c r="U3" s="7">
        <v>0.2</v>
      </c>
    </row>
    <row r="4" spans="1:21" ht="16.5" customHeight="1" thickBot="1" x14ac:dyDescent="0.5">
      <c r="A4" s="46"/>
      <c r="B4" s="46"/>
      <c r="C4" s="46"/>
      <c r="D4" s="46"/>
      <c r="E4" s="46"/>
      <c r="F4" s="54"/>
      <c r="G4" s="42"/>
      <c r="H4" s="42"/>
      <c r="I4" s="42"/>
      <c r="J4" s="42"/>
      <c r="K4" s="42"/>
      <c r="L4" s="46"/>
      <c r="M4" s="2" t="s">
        <v>28</v>
      </c>
      <c r="N4" s="55">
        <v>34705</v>
      </c>
      <c r="O4" s="56"/>
      <c r="P4" s="51">
        <v>13230</v>
      </c>
      <c r="Q4" s="49"/>
      <c r="R4" s="1"/>
      <c r="S4" s="4" t="s">
        <v>29</v>
      </c>
      <c r="T4" s="6">
        <v>0.7</v>
      </c>
      <c r="U4" s="7">
        <v>0.25</v>
      </c>
    </row>
    <row r="5" spans="1:21" x14ac:dyDescent="0.45">
      <c r="A5" s="9" t="s">
        <v>30</v>
      </c>
      <c r="B5" s="10">
        <v>60000000</v>
      </c>
      <c r="C5" s="11">
        <v>50000000</v>
      </c>
      <c r="D5" s="12">
        <f t="shared" ref="D5:D10" si="0">B5-C5</f>
        <v>10000000</v>
      </c>
      <c r="E5" s="13">
        <f t="shared" ref="E5:E10" si="1">(B5-C5)/C5</f>
        <v>0.2</v>
      </c>
      <c r="F5" s="14">
        <f t="shared" ref="F5:F10" si="2">B5*$L$1</f>
        <v>42000000</v>
      </c>
      <c r="G5" s="14">
        <f t="shared" ref="G5:G10" si="3">K5*L5</f>
        <v>34219638</v>
      </c>
      <c r="H5" s="15">
        <f t="shared" ref="H5:H10" si="4">F5-G5</f>
        <v>7780362</v>
      </c>
      <c r="I5" s="29">
        <f t="shared" ref="I5:I10" si="5">J5/4</f>
        <v>111.24338004003431</v>
      </c>
      <c r="J5" s="17">
        <f t="shared" ref="J5:J10" si="6">H5/$L$3</f>
        <v>444.97352016013724</v>
      </c>
      <c r="K5" s="18">
        <v>2682</v>
      </c>
      <c r="L5" s="18">
        <v>12759</v>
      </c>
      <c r="M5" s="14">
        <f t="shared" ref="M5:M10" si="7">B5*$P$1</f>
        <v>15000000</v>
      </c>
      <c r="N5" s="29">
        <f>O5/5</f>
        <v>101.6260162601626</v>
      </c>
      <c r="O5" s="22">
        <f>M5/$N$3/2</f>
        <v>508.130081300813</v>
      </c>
      <c r="P5" s="30">
        <f>Q5/5</f>
        <v>184.61538461538461</v>
      </c>
      <c r="Q5" s="21">
        <f>M5/$P$3/2</f>
        <v>923.07692307692309</v>
      </c>
      <c r="R5" s="1"/>
      <c r="S5" s="5" t="s">
        <v>31</v>
      </c>
      <c r="T5" s="6">
        <v>0.65</v>
      </c>
      <c r="U5" s="7">
        <v>0.3</v>
      </c>
    </row>
    <row r="6" spans="1:21" x14ac:dyDescent="0.45">
      <c r="A6" s="9" t="s">
        <v>32</v>
      </c>
      <c r="B6" s="10">
        <v>10966894</v>
      </c>
      <c r="C6" s="11">
        <v>10000000</v>
      </c>
      <c r="D6" s="12">
        <f t="shared" si="0"/>
        <v>966894</v>
      </c>
      <c r="E6" s="13">
        <f t="shared" si="1"/>
        <v>9.6689399999999995E-2</v>
      </c>
      <c r="F6" s="14">
        <f t="shared" si="2"/>
        <v>7676825.7999999998</v>
      </c>
      <c r="G6" s="14">
        <f t="shared" si="3"/>
        <v>6843575</v>
      </c>
      <c r="H6" s="15">
        <f t="shared" si="4"/>
        <v>833250.79999999981</v>
      </c>
      <c r="I6" s="16">
        <f t="shared" si="5"/>
        <v>11.913794681155274</v>
      </c>
      <c r="J6" s="17">
        <f t="shared" si="6"/>
        <v>47.655178724621095</v>
      </c>
      <c r="K6" s="18">
        <v>599</v>
      </c>
      <c r="L6" s="18">
        <v>11425</v>
      </c>
      <c r="M6" s="14">
        <f t="shared" si="7"/>
        <v>2741723.5</v>
      </c>
      <c r="N6" s="16">
        <f>O6/4</f>
        <v>23.219203082655827</v>
      </c>
      <c r="O6" s="19">
        <f>M6/$N$3/2</f>
        <v>92.876812330623309</v>
      </c>
      <c r="P6" s="20">
        <f>Q6/4</f>
        <v>42.18036153846154</v>
      </c>
      <c r="Q6" s="21">
        <f>M6/$P$3/2</f>
        <v>168.72144615384616</v>
      </c>
      <c r="R6" s="1"/>
      <c r="S6" s="5" t="s">
        <v>33</v>
      </c>
      <c r="T6" s="6">
        <v>0.6</v>
      </c>
      <c r="U6" s="7">
        <v>0.35</v>
      </c>
    </row>
    <row r="7" spans="1:21" x14ac:dyDescent="0.45">
      <c r="A7" s="9" t="s">
        <v>34</v>
      </c>
      <c r="B7" s="10">
        <v>5712304</v>
      </c>
      <c r="C7" s="11">
        <v>5000000</v>
      </c>
      <c r="D7" s="12">
        <f t="shared" si="0"/>
        <v>712304</v>
      </c>
      <c r="E7" s="13">
        <f t="shared" si="1"/>
        <v>0.1424608</v>
      </c>
      <c r="F7" s="14">
        <f t="shared" si="2"/>
        <v>3998612.8</v>
      </c>
      <c r="G7" s="14">
        <f t="shared" si="3"/>
        <v>3775852</v>
      </c>
      <c r="H7" s="15">
        <f t="shared" si="4"/>
        <v>222760.79999999981</v>
      </c>
      <c r="I7" s="16">
        <f t="shared" si="5"/>
        <v>3.185027166142405</v>
      </c>
      <c r="J7" s="17">
        <f t="shared" si="6"/>
        <v>12.74010866456962</v>
      </c>
      <c r="K7" s="18">
        <v>268</v>
      </c>
      <c r="L7" s="18">
        <v>14089</v>
      </c>
      <c r="M7" s="14">
        <f t="shared" si="7"/>
        <v>1428076</v>
      </c>
      <c r="N7" s="16">
        <f>O7/5</f>
        <v>4.1148998703356865</v>
      </c>
      <c r="O7" s="22">
        <f>M7/$N$4/2</f>
        <v>20.574499351678433</v>
      </c>
      <c r="P7" s="20">
        <f>Q7/5</f>
        <v>10.794225245653816</v>
      </c>
      <c r="Q7" s="21">
        <f>M7/$P$4/2</f>
        <v>53.971126228269085</v>
      </c>
      <c r="R7" s="1"/>
      <c r="T7" s="28"/>
      <c r="U7" s="28"/>
    </row>
    <row r="8" spans="1:21" x14ac:dyDescent="0.45">
      <c r="A8" s="9" t="s">
        <v>35</v>
      </c>
      <c r="B8" s="10">
        <v>10523398</v>
      </c>
      <c r="C8" s="11">
        <v>10000000</v>
      </c>
      <c r="D8" s="12">
        <f t="shared" si="0"/>
        <v>523398</v>
      </c>
      <c r="E8" s="13">
        <f t="shared" si="1"/>
        <v>5.2339799999999999E-2</v>
      </c>
      <c r="F8" s="14">
        <f t="shared" si="2"/>
        <v>7366378.5999999996</v>
      </c>
      <c r="G8" s="14">
        <f t="shared" si="3"/>
        <v>4033377</v>
      </c>
      <c r="H8" s="15">
        <f t="shared" si="4"/>
        <v>3333001.5999999996</v>
      </c>
      <c r="I8" s="16">
        <f t="shared" si="5"/>
        <v>47.655155847869594</v>
      </c>
      <c r="J8" s="17">
        <f t="shared" si="6"/>
        <v>190.62062339147838</v>
      </c>
      <c r="K8" s="18">
        <v>309</v>
      </c>
      <c r="L8" s="18">
        <v>13053</v>
      </c>
      <c r="M8" s="14">
        <f t="shared" si="7"/>
        <v>2630849.5</v>
      </c>
      <c r="N8" s="16">
        <f>O8/5</f>
        <v>7.5806065408442596</v>
      </c>
      <c r="O8" s="22">
        <f>M8/$N$4/2</f>
        <v>37.903032704221296</v>
      </c>
      <c r="P8" s="20">
        <f>Q8/5</f>
        <v>19.885483749055176</v>
      </c>
      <c r="Q8" s="21">
        <f>M8/$P$4/2</f>
        <v>99.427418745275887</v>
      </c>
      <c r="R8" s="1"/>
      <c r="S8" s="1"/>
      <c r="T8" s="28"/>
      <c r="U8" s="28"/>
    </row>
    <row r="9" spans="1:21" x14ac:dyDescent="0.45">
      <c r="A9" s="9" t="s">
        <v>36</v>
      </c>
      <c r="B9" s="10">
        <v>4348418</v>
      </c>
      <c r="C9" s="10">
        <v>4000000</v>
      </c>
      <c r="D9" s="12">
        <f t="shared" si="0"/>
        <v>348418</v>
      </c>
      <c r="E9" s="23">
        <f t="shared" si="1"/>
        <v>8.7104500000000001E-2</v>
      </c>
      <c r="F9" s="24">
        <f t="shared" si="2"/>
        <v>3043892.5999999996</v>
      </c>
      <c r="G9" s="14">
        <f t="shared" si="3"/>
        <v>2848512</v>
      </c>
      <c r="H9" s="15">
        <f t="shared" si="4"/>
        <v>195380.59999999963</v>
      </c>
      <c r="I9" s="16">
        <f t="shared" si="5"/>
        <v>2.7935458964826942</v>
      </c>
      <c r="J9" s="17">
        <f t="shared" si="6"/>
        <v>11.174183585930777</v>
      </c>
      <c r="K9" s="18">
        <v>192</v>
      </c>
      <c r="L9" s="18">
        <v>14836</v>
      </c>
      <c r="M9" s="14">
        <f t="shared" si="7"/>
        <v>1087104.5</v>
      </c>
      <c r="N9" s="16">
        <f>O9/5</f>
        <v>3.1324146376602795</v>
      </c>
      <c r="O9" s="22">
        <f>M9/$N$4/2</f>
        <v>15.662073188301397</v>
      </c>
      <c r="P9" s="20">
        <f>Q9/5</f>
        <v>8.2169652305366601</v>
      </c>
      <c r="Q9" s="21">
        <f>M9/$P$4/2</f>
        <v>41.084826152683299</v>
      </c>
      <c r="T9" s="28"/>
      <c r="U9" s="28"/>
    </row>
    <row r="10" spans="1:21" ht="16.5" customHeight="1" thickBot="1" x14ac:dyDescent="0.5">
      <c r="A10" s="9" t="s">
        <v>37</v>
      </c>
      <c r="B10" s="25">
        <v>5368997</v>
      </c>
      <c r="C10" s="25">
        <v>5000000</v>
      </c>
      <c r="D10" s="12">
        <f t="shared" si="0"/>
        <v>368997</v>
      </c>
      <c r="E10" s="23">
        <f t="shared" si="1"/>
        <v>7.3799400000000001E-2</v>
      </c>
      <c r="F10" s="24">
        <f t="shared" si="2"/>
        <v>3758297.9</v>
      </c>
      <c r="G10" s="14">
        <f t="shared" si="3"/>
        <v>3313030</v>
      </c>
      <c r="H10" s="15">
        <f t="shared" si="4"/>
        <v>445267.89999999991</v>
      </c>
      <c r="I10" s="26">
        <f t="shared" si="5"/>
        <v>6.3664269373748912</v>
      </c>
      <c r="J10" s="17">
        <f t="shared" si="6"/>
        <v>25.465707749499565</v>
      </c>
      <c r="K10" s="18">
        <v>235</v>
      </c>
      <c r="L10" s="18">
        <v>14098</v>
      </c>
      <c r="M10" s="14">
        <f t="shared" si="7"/>
        <v>1342249.25</v>
      </c>
      <c r="N10" s="26">
        <f>O10/5</f>
        <v>3.8675961676991788</v>
      </c>
      <c r="O10" s="22">
        <f>M10/$N$4/2</f>
        <v>19.337980838495895</v>
      </c>
      <c r="P10" s="27">
        <f>Q10/5</f>
        <v>10.145496976568406</v>
      </c>
      <c r="Q10" s="21">
        <f>M10/$P$4/2</f>
        <v>50.727484882842028</v>
      </c>
      <c r="T10" s="28"/>
      <c r="U10" s="28"/>
    </row>
    <row r="11" spans="1:21" x14ac:dyDescent="0.45">
      <c r="D11" s="8"/>
    </row>
  </sheetData>
  <mergeCells count="17">
    <mergeCell ref="P4:Q4"/>
    <mergeCell ref="P3:Q3"/>
    <mergeCell ref="N3:O3"/>
    <mergeCell ref="C1:C4"/>
    <mergeCell ref="F1:K4"/>
    <mergeCell ref="L3:L4"/>
    <mergeCell ref="N4:O4"/>
    <mergeCell ref="T1:U1"/>
    <mergeCell ref="N2:O2"/>
    <mergeCell ref="P2:Q2"/>
    <mergeCell ref="M1:O1"/>
    <mergeCell ref="P1:Q1"/>
    <mergeCell ref="A1:A4"/>
    <mergeCell ref="D1:D4"/>
    <mergeCell ref="B1:B4"/>
    <mergeCell ref="L1:L2"/>
    <mergeCell ref="E1:E4"/>
  </mergeCells>
  <phoneticPr fontId="1" type="noConversion"/>
  <conditionalFormatting sqref="E5:E10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  <pageSetup paperSize="9" orientation="portrait" verticalDpi="0"/>
</worksheet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INPUT</vt:lpstr>
      <vt:lpstr>SS관리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임성수</dc:creator>
  <cp:lastModifiedBy>임성수(Lim, Seongsu) / 건축·주택마케팅팀(sslim02@gsenc.com)</cp:lastModifiedBy>
  <dcterms:created xsi:type="dcterms:W3CDTF">2024-01-01T23:54:06Z</dcterms:created>
  <dcterms:modified xsi:type="dcterms:W3CDTF">2026-07-09T06:35:02Z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d8c37-5bcf-4bc2-b06b-a6032f19e2a3_SiteId">
    <vt:lpwstr>b9f2ea37-332a-432b-b744-ecfc9763abfd</vt:lpwstr>
  </property>
  <property fmtid="{D5CDD505-2E9C-101B-9397-08002B2CF9AE}" pid="3" name="MSIP_Label_bf6d8c37-5bcf-4bc2-b06b-a6032f19e2a3_SetDate">
    <vt:lpwstr>2024-08-08T23:14:42Z</vt:lpwstr>
  </property>
  <property fmtid="{D5CDD505-2E9C-101B-9397-08002B2CF9AE}" pid="4" name="MSIP_Label_bf6d8c37-5bcf-4bc2-b06b-a6032f19e2a3_Name">
    <vt:lpwstr>대외비</vt:lpwstr>
  </property>
  <property fmtid="{D5CDD505-2E9C-101B-9397-08002B2CF9AE}" pid="5" name="MSIP_Label_bf6d8c37-5bcf-4bc2-b06b-a6032f19e2a3_Method">
    <vt:lpwstr>Privileged</vt:lpwstr>
  </property>
  <property fmtid="{D5CDD505-2E9C-101B-9397-08002B2CF9AE}" pid="6" name="MSIP_Label_bf6d8c37-5bcf-4bc2-b06b-a6032f19e2a3_Enabled">
    <vt:lpwstr>true</vt:lpwstr>
  </property>
  <property fmtid="{D5CDD505-2E9C-101B-9397-08002B2CF9AE}" pid="7" name="MSIP_Label_bf6d8c37-5bcf-4bc2-b06b-a6032f19e2a3_ContentBits">
    <vt:lpwstr>8</vt:lpwstr>
  </property>
  <property fmtid="{D5CDD505-2E9C-101B-9397-08002B2CF9AE}" pid="8" name="MSIP_Label_bf6d8c37-5bcf-4bc2-b06b-a6032f19e2a3_ActionId">
    <vt:lpwstr>83b85415-fda3-4638-b13b-26e11f315e27</vt:lpwstr>
  </property>
</Properties>
</file>